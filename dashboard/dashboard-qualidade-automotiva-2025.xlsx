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LISSIN\Desktop\Projetos Pessoais\dashboard\"/>
    </mc:Choice>
  </mc:AlternateContent>
  <xr:revisionPtr revIDLastSave="0" documentId="13_ncr:1_{3AA8F033-12F2-491E-920B-623E00422EAC}" xr6:coauthVersionLast="47" xr6:coauthVersionMax="47" xr10:uidLastSave="{00000000-0000-0000-0000-000000000000}"/>
  <bookViews>
    <workbookView xWindow="-108" yWindow="-108" windowWidth="23256" windowHeight="12456" tabRatio="599" activeTab="2" xr2:uid="{0F4EE27B-717E-4987-8078-A4E9B060FA67}"/>
  </bookViews>
  <sheets>
    <sheet name="Base de Dados" sheetId="1" r:id="rId1"/>
    <sheet name="Auxiliar" sheetId="2" r:id="rId2"/>
    <sheet name="Dashboard Geral" sheetId="6" r:id="rId3"/>
    <sheet name="Dispersão" sheetId="9" r:id="rId4"/>
    <sheet name="Insights" sheetId="11" r:id="rId5"/>
    <sheet name="Planilha4" sheetId="15" state="hidden" r:id="rId6"/>
    <sheet name="Ishikawa" sheetId="7" r:id="rId7"/>
    <sheet name="Plano de Ação" sheetId="8" r:id="rId8"/>
  </sheets>
  <definedNames>
    <definedName name="_xlnm._FilterDatabase" localSheetId="0" hidden="1">'Base de Dados'!$B$1:$J$551</definedName>
    <definedName name="SegmentaçãodeDados_Área">#N/A</definedName>
    <definedName name="SegmentaçãodeDados_Trimestre">#N/A</definedName>
  </definedNames>
  <calcPr calcId="191029"/>
  <pivotCaches>
    <pivotCache cacheId="0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5" i="2" l="1"/>
  <c r="I40" i="2"/>
  <c r="I41" i="2"/>
  <c r="I42" i="2"/>
  <c r="I43" i="2"/>
  <c r="I44" i="2"/>
  <c r="I45" i="2"/>
  <c r="I46" i="2"/>
  <c r="I47" i="2"/>
  <c r="I48" i="2"/>
  <c r="I49" i="2"/>
  <c r="I50" i="2"/>
  <c r="I39" i="2"/>
  <c r="H40" i="2"/>
  <c r="H41" i="2"/>
  <c r="H42" i="2"/>
  <c r="H43" i="2"/>
  <c r="H44" i="2"/>
  <c r="H45" i="2"/>
  <c r="H46" i="2"/>
  <c r="H47" i="2"/>
  <c r="H48" i="2"/>
  <c r="H49" i="2"/>
  <c r="H50" i="2"/>
  <c r="H39" i="2"/>
  <c r="H54" i="2"/>
  <c r="H55" i="2"/>
  <c r="H56" i="2"/>
  <c r="H57" i="2"/>
  <c r="H58" i="2"/>
  <c r="H59" i="2"/>
  <c r="H60" i="2"/>
  <c r="H61" i="2"/>
  <c r="H62" i="2"/>
  <c r="H63" i="2"/>
  <c r="H53" i="2"/>
  <c r="I54" i="2"/>
  <c r="I55" i="2"/>
  <c r="I56" i="2"/>
  <c r="I57" i="2"/>
  <c r="I58" i="2"/>
  <c r="I59" i="2"/>
  <c r="I60" i="2"/>
  <c r="I61" i="2"/>
  <c r="I62" i="2"/>
  <c r="I63" i="2"/>
  <c r="I53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22" i="2"/>
  <c r="H25" i="2"/>
  <c r="H26" i="2"/>
  <c r="H27" i="2"/>
  <c r="H28" i="2"/>
  <c r="H29" i="2"/>
  <c r="H30" i="2"/>
  <c r="H31" i="2"/>
  <c r="H32" i="2"/>
  <c r="H33" i="2"/>
  <c r="H34" i="2"/>
  <c r="H35" i="2"/>
  <c r="H24" i="2"/>
  <c r="H23" i="2"/>
  <c r="H22" i="2"/>
  <c r="M2" i="1"/>
  <c r="K2" i="1" s="1"/>
  <c r="M3" i="1"/>
  <c r="K3" i="1" s="1"/>
  <c r="M4" i="1"/>
  <c r="K4" i="1" s="1"/>
  <c r="M5" i="1"/>
  <c r="K5" i="1" s="1"/>
  <c r="M6" i="1"/>
  <c r="K6" i="1" s="1"/>
  <c r="M7" i="1"/>
  <c r="K7" i="1" s="1"/>
  <c r="M8" i="1"/>
  <c r="K8" i="1" s="1"/>
  <c r="M9" i="1"/>
  <c r="K9" i="1" s="1"/>
  <c r="M10" i="1"/>
  <c r="K10" i="1" s="1"/>
  <c r="M11" i="1"/>
  <c r="K11" i="1" s="1"/>
  <c r="M12" i="1"/>
  <c r="K12" i="1" s="1"/>
  <c r="M13" i="1"/>
  <c r="K13" i="1" s="1"/>
  <c r="M14" i="1"/>
  <c r="K14" i="1" s="1"/>
  <c r="M15" i="1"/>
  <c r="K15" i="1" s="1"/>
  <c r="M16" i="1"/>
  <c r="K16" i="1" s="1"/>
  <c r="M17" i="1"/>
  <c r="K17" i="1" s="1"/>
  <c r="M18" i="1"/>
  <c r="K18" i="1" s="1"/>
  <c r="M19" i="1"/>
  <c r="K19" i="1" s="1"/>
  <c r="M20" i="1"/>
  <c r="K20" i="1" s="1"/>
  <c r="M21" i="1"/>
  <c r="K21" i="1" s="1"/>
  <c r="M22" i="1"/>
  <c r="K22" i="1" s="1"/>
  <c r="M23" i="1"/>
  <c r="K23" i="1" s="1"/>
  <c r="M24" i="1"/>
  <c r="K24" i="1" s="1"/>
  <c r="M25" i="1"/>
  <c r="K25" i="1" s="1"/>
  <c r="M26" i="1"/>
  <c r="K26" i="1" s="1"/>
  <c r="M27" i="1"/>
  <c r="M28" i="1"/>
  <c r="M29" i="1"/>
  <c r="M30" i="1"/>
  <c r="K30" i="1" s="1"/>
  <c r="M31" i="1"/>
  <c r="K31" i="1" s="1"/>
  <c r="M32" i="1"/>
  <c r="M33" i="1"/>
  <c r="K33" i="1" s="1"/>
  <c r="M34" i="1"/>
  <c r="K34" i="1" s="1"/>
  <c r="M35" i="1"/>
  <c r="K35" i="1" s="1"/>
  <c r="M36" i="1"/>
  <c r="K36" i="1" s="1"/>
  <c r="M37" i="1"/>
  <c r="K37" i="1" s="1"/>
  <c r="M38" i="1"/>
  <c r="K38" i="1" s="1"/>
  <c r="M39" i="1"/>
  <c r="K39" i="1" s="1"/>
  <c r="M40" i="1"/>
  <c r="K40" i="1" s="1"/>
  <c r="M41" i="1"/>
  <c r="K41" i="1" s="1"/>
  <c r="M42" i="1"/>
  <c r="K42" i="1" s="1"/>
  <c r="M43" i="1"/>
  <c r="K43" i="1" s="1"/>
  <c r="M44" i="1"/>
  <c r="K44" i="1" s="1"/>
  <c r="M45" i="1"/>
  <c r="K45" i="1" s="1"/>
  <c r="M46" i="1"/>
  <c r="K46" i="1" s="1"/>
  <c r="M47" i="1"/>
  <c r="K47" i="1" s="1"/>
  <c r="M48" i="1"/>
  <c r="K48" i="1" s="1"/>
  <c r="M49" i="1"/>
  <c r="K49" i="1" s="1"/>
  <c r="M50" i="1"/>
  <c r="K50" i="1" s="1"/>
  <c r="M51" i="1"/>
  <c r="K51" i="1" s="1"/>
  <c r="M52" i="1"/>
  <c r="K52" i="1" s="1"/>
  <c r="M53" i="1"/>
  <c r="K53" i="1" s="1"/>
  <c r="M54" i="1"/>
  <c r="K54" i="1" s="1"/>
  <c r="M55" i="1"/>
  <c r="K55" i="1" s="1"/>
  <c r="M56" i="1"/>
  <c r="K56" i="1" s="1"/>
  <c r="M57" i="1"/>
  <c r="K57" i="1" s="1"/>
  <c r="M58" i="1"/>
  <c r="K58" i="1" s="1"/>
  <c r="M59" i="1"/>
  <c r="K59" i="1" s="1"/>
  <c r="M60" i="1"/>
  <c r="K60" i="1" s="1"/>
  <c r="M61" i="1"/>
  <c r="K61" i="1" s="1"/>
  <c r="M62" i="1"/>
  <c r="K62" i="1" s="1"/>
  <c r="M63" i="1"/>
  <c r="K63" i="1" s="1"/>
  <c r="M64" i="1"/>
  <c r="K64" i="1" s="1"/>
  <c r="M65" i="1"/>
  <c r="K65" i="1" s="1"/>
  <c r="M66" i="1"/>
  <c r="K66" i="1" s="1"/>
  <c r="M67" i="1"/>
  <c r="K67" i="1" s="1"/>
  <c r="M68" i="1"/>
  <c r="K68" i="1" s="1"/>
  <c r="M69" i="1"/>
  <c r="K69" i="1" s="1"/>
  <c r="M70" i="1"/>
  <c r="K70" i="1" s="1"/>
  <c r="M71" i="1"/>
  <c r="K71" i="1" s="1"/>
  <c r="M72" i="1"/>
  <c r="K72" i="1" s="1"/>
  <c r="M73" i="1"/>
  <c r="K73" i="1" s="1"/>
  <c r="M74" i="1"/>
  <c r="K74" i="1" s="1"/>
  <c r="M75" i="1"/>
  <c r="K75" i="1" s="1"/>
  <c r="M76" i="1"/>
  <c r="K76" i="1" s="1"/>
  <c r="M77" i="1"/>
  <c r="K77" i="1" s="1"/>
  <c r="M78" i="1"/>
  <c r="K78" i="1" s="1"/>
  <c r="M79" i="1"/>
  <c r="K79" i="1" s="1"/>
  <c r="M80" i="1"/>
  <c r="K80" i="1" s="1"/>
  <c r="M81" i="1"/>
  <c r="K81" i="1" s="1"/>
  <c r="M82" i="1"/>
  <c r="K82" i="1" s="1"/>
  <c r="M83" i="1"/>
  <c r="K83" i="1" s="1"/>
  <c r="M84" i="1"/>
  <c r="K84" i="1" s="1"/>
  <c r="M85" i="1"/>
  <c r="K85" i="1" s="1"/>
  <c r="M86" i="1"/>
  <c r="K86" i="1" s="1"/>
  <c r="M87" i="1"/>
  <c r="K87" i="1" s="1"/>
  <c r="M88" i="1"/>
  <c r="K88" i="1" s="1"/>
  <c r="M89" i="1"/>
  <c r="K89" i="1" s="1"/>
  <c r="M90" i="1"/>
  <c r="K90" i="1" s="1"/>
  <c r="M91" i="1"/>
  <c r="K91" i="1" s="1"/>
  <c r="M92" i="1"/>
  <c r="K92" i="1" s="1"/>
  <c r="M93" i="1"/>
  <c r="K93" i="1" s="1"/>
  <c r="M94" i="1"/>
  <c r="K94" i="1" s="1"/>
  <c r="M95" i="1"/>
  <c r="K95" i="1" s="1"/>
  <c r="M96" i="1"/>
  <c r="K96" i="1" s="1"/>
  <c r="M97" i="1"/>
  <c r="K97" i="1" s="1"/>
  <c r="M98" i="1"/>
  <c r="K98" i="1" s="1"/>
  <c r="M99" i="1"/>
  <c r="K99" i="1" s="1"/>
  <c r="M100" i="1"/>
  <c r="K100" i="1" s="1"/>
  <c r="M101" i="1"/>
  <c r="K101" i="1" s="1"/>
  <c r="M102" i="1"/>
  <c r="K102" i="1" s="1"/>
  <c r="M103" i="1"/>
  <c r="K103" i="1" s="1"/>
  <c r="M104" i="1"/>
  <c r="K104" i="1" s="1"/>
  <c r="M105" i="1"/>
  <c r="K105" i="1" s="1"/>
  <c r="M106" i="1"/>
  <c r="M107" i="1"/>
  <c r="M108" i="1"/>
  <c r="K108" i="1" s="1"/>
  <c r="M109" i="1"/>
  <c r="K109" i="1" s="1"/>
  <c r="M110" i="1"/>
  <c r="K110" i="1" s="1"/>
  <c r="M111" i="1"/>
  <c r="K111" i="1" s="1"/>
  <c r="M112" i="1"/>
  <c r="K112" i="1" s="1"/>
  <c r="M113" i="1"/>
  <c r="K113" i="1" s="1"/>
  <c r="M114" i="1"/>
  <c r="K114" i="1" s="1"/>
  <c r="M115" i="1"/>
  <c r="K115" i="1" s="1"/>
  <c r="M116" i="1"/>
  <c r="K116" i="1" s="1"/>
  <c r="M117" i="1"/>
  <c r="K117" i="1" s="1"/>
  <c r="M118" i="1"/>
  <c r="K118" i="1" s="1"/>
  <c r="M119" i="1"/>
  <c r="K119" i="1" s="1"/>
  <c r="M120" i="1"/>
  <c r="K120" i="1" s="1"/>
  <c r="M121" i="1"/>
  <c r="K121" i="1" s="1"/>
  <c r="M122" i="1"/>
  <c r="K122" i="1" s="1"/>
  <c r="M123" i="1"/>
  <c r="K123" i="1" s="1"/>
  <c r="M124" i="1"/>
  <c r="K124" i="1" s="1"/>
  <c r="M125" i="1"/>
  <c r="K125" i="1" s="1"/>
  <c r="M126" i="1"/>
  <c r="K126" i="1" s="1"/>
  <c r="M127" i="1"/>
  <c r="K127" i="1" s="1"/>
  <c r="M128" i="1"/>
  <c r="K128" i="1" s="1"/>
  <c r="M129" i="1"/>
  <c r="K129" i="1" s="1"/>
  <c r="M130" i="1"/>
  <c r="K130" i="1" s="1"/>
  <c r="M131" i="1"/>
  <c r="K131" i="1" s="1"/>
  <c r="M132" i="1"/>
  <c r="K132" i="1" s="1"/>
  <c r="M133" i="1"/>
  <c r="K133" i="1" s="1"/>
  <c r="M134" i="1"/>
  <c r="K134" i="1" s="1"/>
  <c r="M135" i="1"/>
  <c r="K135" i="1" s="1"/>
  <c r="M136" i="1"/>
  <c r="K136" i="1" s="1"/>
  <c r="M137" i="1"/>
  <c r="K137" i="1" s="1"/>
  <c r="M138" i="1"/>
  <c r="K138" i="1" s="1"/>
  <c r="M139" i="1"/>
  <c r="K139" i="1" s="1"/>
  <c r="M140" i="1"/>
  <c r="K140" i="1" s="1"/>
  <c r="M141" i="1"/>
  <c r="K141" i="1" s="1"/>
  <c r="M142" i="1"/>
  <c r="K142" i="1" s="1"/>
  <c r="M143" i="1"/>
  <c r="K143" i="1" s="1"/>
  <c r="M144" i="1"/>
  <c r="K144" i="1" s="1"/>
  <c r="M145" i="1"/>
  <c r="K145" i="1" s="1"/>
  <c r="M146" i="1"/>
  <c r="K146" i="1" s="1"/>
  <c r="M147" i="1"/>
  <c r="K147" i="1" s="1"/>
  <c r="M148" i="1"/>
  <c r="K148" i="1" s="1"/>
  <c r="M149" i="1"/>
  <c r="K149" i="1" s="1"/>
  <c r="M150" i="1"/>
  <c r="K150" i="1" s="1"/>
  <c r="M151" i="1"/>
  <c r="K151" i="1" s="1"/>
  <c r="M152" i="1"/>
  <c r="K152" i="1" s="1"/>
  <c r="M153" i="1"/>
  <c r="K153" i="1" s="1"/>
  <c r="M154" i="1"/>
  <c r="K154" i="1" s="1"/>
  <c r="M155" i="1"/>
  <c r="K155" i="1" s="1"/>
  <c r="M156" i="1"/>
  <c r="K156" i="1" s="1"/>
  <c r="M157" i="1"/>
  <c r="K157" i="1" s="1"/>
  <c r="M158" i="1"/>
  <c r="K158" i="1" s="1"/>
  <c r="M159" i="1"/>
  <c r="K159" i="1" s="1"/>
  <c r="M160" i="1"/>
  <c r="K160" i="1" s="1"/>
  <c r="M161" i="1"/>
  <c r="K161" i="1" s="1"/>
  <c r="M162" i="1"/>
  <c r="K162" i="1" s="1"/>
  <c r="M163" i="1"/>
  <c r="K163" i="1" s="1"/>
  <c r="M164" i="1"/>
  <c r="K164" i="1" s="1"/>
  <c r="M165" i="1"/>
  <c r="K165" i="1" s="1"/>
  <c r="M166" i="1"/>
  <c r="K166" i="1" s="1"/>
  <c r="M167" i="1"/>
  <c r="K167" i="1" s="1"/>
  <c r="M168" i="1"/>
  <c r="K168" i="1" s="1"/>
  <c r="M169" i="1"/>
  <c r="M170" i="1"/>
  <c r="K170" i="1" s="1"/>
  <c r="M171" i="1"/>
  <c r="K171" i="1" s="1"/>
  <c r="M172" i="1"/>
  <c r="K172" i="1" s="1"/>
  <c r="M173" i="1"/>
  <c r="K173" i="1" s="1"/>
  <c r="M174" i="1"/>
  <c r="K174" i="1" s="1"/>
  <c r="M175" i="1"/>
  <c r="K175" i="1" s="1"/>
  <c r="M176" i="1"/>
  <c r="K176" i="1" s="1"/>
  <c r="M177" i="1"/>
  <c r="K177" i="1" s="1"/>
  <c r="M178" i="1"/>
  <c r="K178" i="1" s="1"/>
  <c r="M179" i="1"/>
  <c r="K179" i="1" s="1"/>
  <c r="M180" i="1"/>
  <c r="K180" i="1" s="1"/>
  <c r="M181" i="1"/>
  <c r="K181" i="1" s="1"/>
  <c r="M182" i="1"/>
  <c r="K182" i="1" s="1"/>
  <c r="M183" i="1"/>
  <c r="K183" i="1" s="1"/>
  <c r="M184" i="1"/>
  <c r="K184" i="1" s="1"/>
  <c r="M185" i="1"/>
  <c r="K185" i="1" s="1"/>
  <c r="M186" i="1"/>
  <c r="M187" i="1"/>
  <c r="K187" i="1" s="1"/>
  <c r="M188" i="1"/>
  <c r="K188" i="1" s="1"/>
  <c r="M189" i="1"/>
  <c r="K189" i="1" s="1"/>
  <c r="M190" i="1"/>
  <c r="K190" i="1" s="1"/>
  <c r="M191" i="1"/>
  <c r="K191" i="1" s="1"/>
  <c r="M192" i="1"/>
  <c r="K192" i="1" s="1"/>
  <c r="M193" i="1"/>
  <c r="K193" i="1" s="1"/>
  <c r="M194" i="1"/>
  <c r="K194" i="1" s="1"/>
  <c r="M195" i="1"/>
  <c r="K195" i="1" s="1"/>
  <c r="M196" i="1"/>
  <c r="K196" i="1" s="1"/>
  <c r="M197" i="1"/>
  <c r="K197" i="1" s="1"/>
  <c r="M198" i="1"/>
  <c r="K198" i="1" s="1"/>
  <c r="M199" i="1"/>
  <c r="K199" i="1" s="1"/>
  <c r="M200" i="1"/>
  <c r="K200" i="1" s="1"/>
  <c r="M201" i="1"/>
  <c r="K201" i="1" s="1"/>
  <c r="M202" i="1"/>
  <c r="K202" i="1" s="1"/>
  <c r="M203" i="1"/>
  <c r="K203" i="1" s="1"/>
  <c r="M204" i="1"/>
  <c r="K204" i="1" s="1"/>
  <c r="M205" i="1"/>
  <c r="K205" i="1" s="1"/>
  <c r="M206" i="1"/>
  <c r="K206" i="1" s="1"/>
  <c r="M207" i="1"/>
  <c r="K207" i="1" s="1"/>
  <c r="M208" i="1"/>
  <c r="K208" i="1" s="1"/>
  <c r="M209" i="1"/>
  <c r="K209" i="1" s="1"/>
  <c r="M210" i="1"/>
  <c r="K210" i="1" s="1"/>
  <c r="M211" i="1"/>
  <c r="K211" i="1" s="1"/>
  <c r="M212" i="1"/>
  <c r="K212" i="1" s="1"/>
  <c r="M213" i="1"/>
  <c r="K213" i="1" s="1"/>
  <c r="M214" i="1"/>
  <c r="K214" i="1" s="1"/>
  <c r="M215" i="1"/>
  <c r="K215" i="1" s="1"/>
  <c r="M216" i="1"/>
  <c r="K216" i="1" s="1"/>
  <c r="M217" i="1"/>
  <c r="K217" i="1" s="1"/>
  <c r="M218" i="1"/>
  <c r="K218" i="1" s="1"/>
  <c r="M219" i="1"/>
  <c r="K219" i="1" s="1"/>
  <c r="M220" i="1"/>
  <c r="K220" i="1" s="1"/>
  <c r="M221" i="1"/>
  <c r="K221" i="1" s="1"/>
  <c r="M222" i="1"/>
  <c r="K222" i="1" s="1"/>
  <c r="M223" i="1"/>
  <c r="K223" i="1" s="1"/>
  <c r="M224" i="1"/>
  <c r="K224" i="1" s="1"/>
  <c r="M225" i="1"/>
  <c r="K225" i="1" s="1"/>
  <c r="M226" i="1"/>
  <c r="K226" i="1" s="1"/>
  <c r="M227" i="1"/>
  <c r="K227" i="1" s="1"/>
  <c r="M228" i="1"/>
  <c r="K228" i="1" s="1"/>
  <c r="M229" i="1"/>
  <c r="K229" i="1" s="1"/>
  <c r="M230" i="1"/>
  <c r="K230" i="1" s="1"/>
  <c r="M231" i="1"/>
  <c r="K231" i="1" s="1"/>
  <c r="M232" i="1"/>
  <c r="K232" i="1" s="1"/>
  <c r="M233" i="1"/>
  <c r="K233" i="1" s="1"/>
  <c r="M234" i="1"/>
  <c r="K234" i="1" s="1"/>
  <c r="M235" i="1"/>
  <c r="M236" i="1"/>
  <c r="K236" i="1" s="1"/>
  <c r="M237" i="1"/>
  <c r="K237" i="1" s="1"/>
  <c r="M238" i="1"/>
  <c r="K238" i="1" s="1"/>
  <c r="M239" i="1"/>
  <c r="K239" i="1" s="1"/>
  <c r="M240" i="1"/>
  <c r="M241" i="1"/>
  <c r="K241" i="1" s="1"/>
  <c r="K28" i="1"/>
  <c r="K29" i="1"/>
  <c r="K32" i="1"/>
  <c r="K106" i="1"/>
  <c r="K107" i="1"/>
  <c r="K169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2" i="1"/>
  <c r="K27" i="1"/>
  <c r="K186" i="1"/>
  <c r="K235" i="1"/>
  <c r="K240" i="1"/>
  <c r="I36" i="2" l="1"/>
  <c r="J32" i="2" s="1"/>
  <c r="J23" i="2" l="1"/>
  <c r="J24" i="2"/>
  <c r="J31" i="2"/>
  <c r="J34" i="2"/>
  <c r="J22" i="2"/>
  <c r="K22" i="2" s="1"/>
  <c r="J25" i="2"/>
  <c r="J28" i="2"/>
  <c r="J29" i="2"/>
  <c r="J26" i="2"/>
  <c r="J33" i="2"/>
  <c r="J35" i="2"/>
  <c r="J27" i="2"/>
  <c r="J30" i="2"/>
  <c r="K23" i="2" l="1"/>
  <c r="K24" i="2" s="1"/>
  <c r="K25" i="2" s="1"/>
  <c r="K26" i="2" s="1"/>
  <c r="K27" i="2" s="1"/>
  <c r="K28" i="2" s="1"/>
  <c r="K29" i="2" s="1"/>
  <c r="K30" i="2" s="1"/>
  <c r="K31" i="2" s="1"/>
  <c r="K32" i="2" s="1"/>
  <c r="K33" i="2" s="1"/>
  <c r="K34" i="2" s="1"/>
  <c r="K35" i="2" s="1"/>
</calcChain>
</file>

<file path=xl/sharedStrings.xml><?xml version="1.0" encoding="utf-8"?>
<sst xmlns="http://schemas.openxmlformats.org/spreadsheetml/2006/main" count="3718" uniqueCount="499">
  <si>
    <t>ID</t>
  </si>
  <si>
    <t>Data</t>
  </si>
  <si>
    <t>Modelo</t>
  </si>
  <si>
    <t>Área</t>
  </si>
  <si>
    <t>Problema</t>
  </si>
  <si>
    <t>Gravidade</t>
  </si>
  <si>
    <t>Produção</t>
  </si>
  <si>
    <t>Defeitos</t>
  </si>
  <si>
    <t>Pós-venda</t>
  </si>
  <si>
    <t>SUV C</t>
  </si>
  <si>
    <t>Sedan B</t>
  </si>
  <si>
    <t>Hatch A</t>
  </si>
  <si>
    <t>Pickup D</t>
  </si>
  <si>
    <t>Elétrico EV</t>
  </si>
  <si>
    <t>Montagem</t>
  </si>
  <si>
    <t>Elétrica</t>
  </si>
  <si>
    <t>Pintura</t>
  </si>
  <si>
    <t>Acabamento</t>
  </si>
  <si>
    <t>Powertrain</t>
  </si>
  <si>
    <t>Eletrônica</t>
  </si>
  <si>
    <t>Segurança</t>
  </si>
  <si>
    <t>Carroceria</t>
  </si>
  <si>
    <t>Torque fora da especificação</t>
  </si>
  <si>
    <t>Falha no sensor ABS</t>
  </si>
  <si>
    <t>Falha na pintura</t>
  </si>
  <si>
    <t>Ruído interno</t>
  </si>
  <si>
    <t>Vazamento de óleo</t>
  </si>
  <si>
    <t>Parafuso ausente</t>
  </si>
  <si>
    <t>Falha na central multimídia</t>
  </si>
  <si>
    <t>Airbag com falha de comunicação</t>
  </si>
  <si>
    <t>Desalinhamento das portas</t>
  </si>
  <si>
    <t>Vazamento de líquido de arrefecimento</t>
  </si>
  <si>
    <t>Alta</t>
  </si>
  <si>
    <t>Média</t>
  </si>
  <si>
    <t>Baixa</t>
  </si>
  <si>
    <t>Crítica</t>
  </si>
  <si>
    <t>Risco na carroceria</t>
  </si>
  <si>
    <t>Chassi</t>
  </si>
  <si>
    <t>Ruído na suspensão</t>
  </si>
  <si>
    <t>Falha na vedação</t>
  </si>
  <si>
    <t>Falha no chicote elétrico</t>
  </si>
  <si>
    <t>13/01/2025</t>
  </si>
  <si>
    <t>14/01/2025</t>
  </si>
  <si>
    <t>15/01/2025</t>
  </si>
  <si>
    <t>17/01/2025</t>
  </si>
  <si>
    <t>20/01/2025</t>
  </si>
  <si>
    <t>22/01/2025</t>
  </si>
  <si>
    <t>24/01/2025</t>
  </si>
  <si>
    <t>27/01/2025</t>
  </si>
  <si>
    <t>29/01/2025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</si>
  <si>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</si>
  <si>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</si>
  <si>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</si>
  <si>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</si>
  <si>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</si>
  <si>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</si>
  <si>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</si>
  <si>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</si>
  <si>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13/02/2025</t>
  </si>
  <si>
    <t>14/02/2025</t>
  </si>
  <si>
    <t>17/02/2025</t>
  </si>
  <si>
    <t>19/02/2025</t>
  </si>
  <si>
    <t>20/02/2025</t>
  </si>
  <si>
    <t>21/02/2025</t>
  </si>
  <si>
    <t>24/02/2025</t>
  </si>
  <si>
    <t>26/02/2025</t>
  </si>
  <si>
    <t>28/02/2025</t>
  </si>
  <si>
    <t>03/03/2025</t>
  </si>
  <si>
    <t>04/03/2025</t>
  </si>
  <si>
    <t>05/03/2025</t>
  </si>
  <si>
    <t>06/03/2025</t>
  </si>
  <si>
    <t>07/03/2025</t>
  </si>
  <si>
    <t>10/03/2025</t>
  </si>
  <si>
    <t>11/03/2025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</si>
  <si>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</si>
  <si>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</si>
  <si>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</si>
  <si>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</si>
  <si>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</si>
  <si>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</si>
  <si>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</si>
  <si>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</si>
  <si>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</si>
  <si>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</si>
  <si>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</si>
  <si>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</si>
  <si>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</si>
  <si>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</si>
  <si>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</si>
  <si>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Semestre</t>
  </si>
  <si>
    <t>Trimestre</t>
  </si>
  <si>
    <t>Mês</t>
  </si>
  <si>
    <t>Nº Mês</t>
  </si>
  <si>
    <t>Rótulos de Linha</t>
  </si>
  <si>
    <t>Total Geral</t>
  </si>
  <si>
    <t>Soma de Defeitos</t>
  </si>
  <si>
    <t>Defeitos por Mês</t>
  </si>
  <si>
    <t>Defeitos por Modelo</t>
  </si>
  <si>
    <t>Principais Problemas</t>
  </si>
  <si>
    <t>Modelos</t>
  </si>
  <si>
    <t>Problemas</t>
  </si>
  <si>
    <t>Defeitos por Área</t>
  </si>
  <si>
    <t>Gravidade dos Problemas</t>
  </si>
  <si>
    <t>Contagem de ID</t>
  </si>
  <si>
    <t>Contagem de Defeitos</t>
  </si>
  <si>
    <t>Pós-Venda</t>
  </si>
  <si>
    <t>Ocorrência</t>
  </si>
  <si>
    <t>%</t>
  </si>
  <si>
    <t>% Acumulada</t>
  </si>
  <si>
    <t>T1</t>
  </si>
  <si>
    <t>T2</t>
  </si>
  <si>
    <t>T3</t>
  </si>
  <si>
    <t>T4</t>
  </si>
  <si>
    <t>Contagem de Área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</si>
  <si>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</si>
  <si>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</si>
  <si>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</si>
  <si>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</si>
  <si>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</si>
  <si>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</si>
  <si>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</si>
  <si>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</si>
  <si>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</si>
  <si>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</si>
  <si>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</si>
  <si>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</si>
  <si>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01/07/2025</t>
  </si>
  <si>
    <t>2º Semestre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</si>
  <si>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</si>
  <si>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</si>
  <si>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</si>
  <si>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</si>
  <si>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</si>
  <si>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</si>
  <si>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</si>
  <si>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</si>
  <si>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</si>
  <si>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</si>
  <si>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</si>
  <si>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</si>
  <si>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</si>
  <si>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</si>
  <si>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</si>
  <si>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</si>
  <si>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</si>
  <si>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</si>
  <si>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</si>
  <si>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</si>
  <si>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</si>
  <si>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</si>
  <si>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</si>
  <si>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</si>
  <si>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</si>
  <si>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</si>
  <si>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</si>
  <si>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</si>
  <si>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</si>
  <si>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</si>
  <si>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</si>
  <si>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</si>
  <si>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</si>
  <si>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</si>
  <si>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</si>
  <si>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</si>
  <si>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</si>
  <si>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</si>
  <si>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</si>
  <si>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</si>
  <si>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</si>
  <si>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</si>
  <si>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</si>
  <si>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</si>
  <si>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</si>
  <si>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</si>
  <si>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</si>
  <si>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</si>
  <si>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</si>
  <si>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</si>
  <si>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</si>
  <si>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</si>
  <si>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</si>
  <si>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</si>
  <si>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</si>
  <si>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</si>
  <si>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</si>
  <si>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</si>
  <si>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</si>
  <si>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</si>
  <si>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</si>
  <si>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</si>
  <si>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</si>
  <si>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</si>
  <si>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</si>
  <si>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</si>
  <si>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</si>
  <si>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</si>
  <si>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</si>
  <si>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</si>
  <si>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</si>
  <si>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</si>
  <si>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</si>
  <si>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</si>
  <si>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</si>
  <si>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</si>
  <si>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</si>
  <si>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</si>
  <si>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</si>
  <si>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</si>
  <si>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</si>
  <si>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</si>
  <si>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</si>
  <si>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</si>
  <si>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</si>
  <si>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</si>
  <si>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</si>
  <si>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</si>
  <si>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</si>
  <si>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</si>
  <si>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</si>
  <si>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</si>
  <si>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</si>
  <si>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</si>
  <si>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</si>
  <si>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</si>
  <si>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</si>
  <si>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</si>
  <si>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</si>
  <si>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</si>
  <si>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</si>
  <si>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</si>
  <si>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</si>
  <si>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</si>
  <si>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</si>
  <si>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</si>
  <si>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</si>
  <si>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</si>
  <si>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</si>
  <si>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</si>
  <si>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</si>
  <si>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</si>
  <si>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</si>
  <si>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</si>
  <si>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</si>
  <si>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</si>
  <si>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</si>
  <si>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</si>
  <si>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</si>
  <si>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</si>
  <si>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</si>
  <si>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</si>
  <si>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</si>
  <si>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</si>
  <si>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</si>
  <si>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</si>
  <si>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</si>
  <si>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</si>
  <si>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</si>
  <si>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</si>
  <si>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</si>
  <si>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</si>
  <si>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</si>
  <si>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</si>
  <si>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</si>
  <si>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</si>
  <si>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</si>
  <si>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</si>
  <si>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</si>
  <si>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</si>
  <si>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</si>
  <si>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</si>
  <si>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</si>
  <si>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</si>
  <si>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</si>
  <si>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</si>
  <si>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</si>
  <si>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</si>
  <si>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</si>
  <si>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</si>
  <si>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</si>
  <si>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</si>
  <si>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</si>
  <si>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</si>
  <si>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</si>
  <si>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</si>
  <si>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</si>
  <si>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</si>
  <si>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</si>
  <si>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</si>
  <si>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</si>
  <si>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</si>
  <si>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</si>
  <si>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</si>
  <si>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</si>
  <si>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</si>
  <si>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</si>
  <si>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</si>
  <si>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</si>
  <si>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</si>
  <si>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</si>
  <si>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</si>
  <si>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</si>
  <si>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</si>
  <si>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</si>
  <si>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</si>
  <si>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</si>
  <si>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</si>
  <si>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</si>
  <si>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</si>
  <si>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</si>
  <si>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</si>
  <si>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</si>
  <si>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</si>
  <si>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</si>
  <si>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</si>
  <si>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</si>
  <si>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</si>
  <si>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</si>
  <si>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</si>
  <si>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</si>
  <si>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</si>
  <si>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</si>
  <si>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</si>
  <si>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</si>
  <si>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</si>
  <si>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</si>
  <si>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</si>
  <si>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</si>
  <si>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</si>
  <si>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</si>
  <si>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</si>
  <si>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</si>
  <si>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</si>
  <si>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</si>
  <si>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</si>
  <si>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</si>
  <si>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</si>
  <si>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</si>
  <si>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</si>
  <si>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</si>
  <si>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</si>
  <si>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</si>
  <si>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</si>
  <si>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</si>
  <si>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</si>
  <si>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</si>
  <si>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</si>
  <si>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</si>
  <si>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</si>
  <si>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</si>
  <si>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</si>
  <si>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</si>
  <si>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</si>
  <si>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</si>
  <si>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</si>
  <si>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</si>
  <si>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</si>
  <si>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</si>
  <si>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</si>
  <si>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</si>
  <si>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</si>
  <si>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</si>
  <si>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</si>
  <si>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</si>
  <si>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</si>
  <si>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</si>
  <si>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</si>
  <si>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</si>
  <si>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</si>
  <si>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</si>
  <si>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</si>
  <si>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</si>
  <si>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</si>
  <si>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</si>
  <si>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</si>
  <si>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</si>
  <si>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</si>
  <si>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</si>
  <si>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</si>
  <si>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</si>
  <si>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</si>
  <si>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</si>
  <si>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</si>
  <si>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</si>
  <si>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</si>
  <si>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</si>
  <si>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</si>
  <si>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</si>
  <si>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</si>
  <si>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</si>
  <si>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</si>
  <si>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</si>
  <si>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</si>
  <si>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</si>
  <si>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</si>
  <si>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</si>
  <si>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</si>
  <si>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</si>
  <si>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</si>
  <si>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</si>
  <si>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</si>
  <si>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</si>
  <si>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</si>
  <si>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</si>
  <si>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</si>
  <si>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</si>
  <si>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</si>
  <si>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</si>
  <si>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</si>
  <si>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</si>
  <si>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</si>
  <si>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</si>
  <si>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</si>
  <si>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</si>
  <si>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</si>
  <si>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</si>
  <si>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</si>
  <si>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</si>
  <si>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</si>
  <si>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</si>
  <si>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</si>
  <si>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</si>
  <si>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</si>
  <si>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</si>
  <si>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</si>
  <si>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</si>
  <si>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</si>
  <si>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</si>
  <si>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</si>
  <si>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</si>
  <si>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</si>
  <si>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</si>
  <si>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01/05/2026</t>
  </si>
  <si>
    <t>02/05/2026</t>
  </si>
  <si>
    <t>03/05/2026</t>
  </si>
  <si>
    <t>04/05/2026</t>
  </si>
  <si>
    <t>05/05/2026</t>
  </si>
  <si>
    <t>06/05/2026</t>
  </si>
  <si>
    <r>
      <t>Problema:</t>
    </r>
    <r>
      <rPr>
        <sz val="11"/>
        <color theme="1"/>
        <rFont val="Aptos Narrow"/>
        <family val="2"/>
        <scheme val="minor"/>
      </rPr>
      <t xml:space="preserve"> Torque fora da especificação.</t>
    </r>
  </si>
  <si>
    <t>O parafuso foi apertado abaixo do torque especificado.</t>
  </si>
  <si>
    <t>Por quê?</t>
  </si>
  <si>
    <t>O operador leu o Qrcode errado.</t>
  </si>
  <si>
    <t>Os Qrcodes possuíam identificação semelhante.</t>
  </si>
  <si>
    <t>A parafusadeira eletrônica puxou o torque incorreto.</t>
  </si>
  <si>
    <t>Não existia padronização visual nem bloqueio eletrônico para evitar seleção incorreta.</t>
  </si>
  <si>
    <t>Causa raiz</t>
  </si>
  <si>
    <t>Ausência de padronização e de mecanismos Poka-Yoke na leitura dos Qrcodes dos apertos</t>
  </si>
  <si>
    <t>5 PORQUÊS</t>
  </si>
  <si>
    <t>Linha de montagem.</t>
  </si>
  <si>
    <t>Em até 15 dias.</t>
  </si>
  <si>
    <t>Revisar programas, recalibrar ferramentas, 
treinar operadores e implantar Poka-Yoke.</t>
  </si>
  <si>
    <t>Eliminar erros de torque 
e reduzir retrabalho.</t>
  </si>
  <si>
    <t>Revisar a padronização do Qrcode 
e implantar identificação visual.</t>
  </si>
  <si>
    <t>Engenharia de Processos 
e Qualidade.</t>
  </si>
  <si>
    <r>
      <t>R$ 6.000,00</t>
    </r>
    <r>
      <rPr>
        <sz val="11"/>
        <color theme="1"/>
        <rFont val="Aptos Narrow"/>
        <family val="2"/>
        <scheme val="minor"/>
      </rPr>
      <t xml:space="preserve"> 
(treinamento, calibração 
e identificação visual).</t>
    </r>
  </si>
  <si>
    <r>
      <t xml:space="preserve">Problema: </t>
    </r>
    <r>
      <rPr>
        <sz val="11"/>
        <color theme="1"/>
        <rFont val="Aptos Narrow"/>
        <family val="2"/>
        <scheme val="minor"/>
      </rPr>
      <t>Falha na pintura.</t>
    </r>
  </si>
  <si>
    <t>A superfície apresentou imperfeições.</t>
  </si>
  <si>
    <t>A tinta não aderiu corretamente.</t>
  </si>
  <si>
    <t>Havia impurezas na peça</t>
  </si>
  <si>
    <t>O processo de limpeza não removeu todos os resíduos.</t>
  </si>
  <si>
    <t>O procedimento de preparação da superfície não estava sendo seguido integralmente.</t>
  </si>
  <si>
    <t>Falha na padronização e execução da preparação da superfície antes da pintura.</t>
  </si>
  <si>
    <t>Padronizar o processo de preparação 
das peças e revisar parâmetros da pintura.</t>
  </si>
  <si>
    <t>Reduzir defeitos superficiais
 e retrabalho.</t>
  </si>
  <si>
    <t>Setor de Pintura.</t>
  </si>
  <si>
    <t>Até 20 dias.</t>
  </si>
  <si>
    <t>Supervisor da Pintura 
e Engenharia Industrial.</t>
  </si>
  <si>
    <t>Revisar procedimento, calibrar pistolas, 
inspecionar cabine e realizar treinamento.</t>
  </si>
  <si>
    <r>
      <t>R$ 8.500,00</t>
    </r>
    <r>
      <rPr>
        <sz val="11"/>
        <color theme="1"/>
        <rFont val="Aptos Narrow"/>
        <family val="2"/>
        <scheme val="minor"/>
      </rPr>
      <t xml:space="preserve"> (calibração, treinamento 
e manutenção preventiva).</t>
    </r>
  </si>
  <si>
    <r>
      <t>Problema:</t>
    </r>
    <r>
      <rPr>
        <sz val="11"/>
        <color theme="1"/>
        <rFont val="Aptos Narrow"/>
        <family val="2"/>
        <scheme val="minor"/>
      </rPr>
      <t xml:space="preserve"> Falha na central multimídia.</t>
    </r>
  </si>
  <si>
    <t>A central não inicializou corretamente.</t>
  </si>
  <si>
    <t>O chicote elétrico estava parcialmente desconectado.</t>
  </si>
  <si>
    <t>O conector não foi travado completamente.</t>
  </si>
  <si>
    <t>O operador não percebeu que a trava não estava totalmente encaixada.</t>
  </si>
  <si>
    <t>O processo não possuía uma etapa de verificação visual e funcional obrigatória.</t>
  </si>
  <si>
    <t>Ausência de um processo de validação após a instalação da central multimídia.</t>
  </si>
  <si>
    <t>Implantar inspeção funcional obrigatória 
após instalação da central multimídia.</t>
  </si>
  <si>
    <t>Evitar falhas detectadas na inspeção final 
e no pós-venda.</t>
  </si>
  <si>
    <t>Linha de montagem 
e Estação de Eletrônica.</t>
  </si>
  <si>
    <t>Até 15 dias.</t>
  </si>
  <si>
    <t>Engenharia de Produto, 
Eletrônica e Qualidade.</t>
  </si>
  <si>
    <t>Atualizar checklist, revisar conectores, treinar operadores 
e incluir teste automático de funcionamento.</t>
  </si>
  <si>
    <r>
      <t>R$ 7.000,00</t>
    </r>
    <r>
      <rPr>
        <sz val="11"/>
        <color theme="1"/>
        <rFont val="Aptos Narrow"/>
        <family val="2"/>
        <scheme val="minor"/>
      </rPr>
      <t xml:space="preserve"> (treinamento, atualização de software 
e adequação do posto de teste).</t>
    </r>
  </si>
  <si>
    <t>O que?</t>
  </si>
  <si>
    <t>Porque?</t>
  </si>
  <si>
    <t>Onde?</t>
  </si>
  <si>
    <t>Quando?</t>
  </si>
  <si>
    <t>Quem?</t>
  </si>
  <si>
    <t>Como?</t>
  </si>
  <si>
    <t>Quanto?</t>
  </si>
  <si>
    <t>Soma de Pós-venda</t>
  </si>
  <si>
    <t>Soma de Produção</t>
  </si>
  <si>
    <t xml:space="preserve">  </t>
  </si>
  <si>
    <t>Prioridade</t>
  </si>
  <si>
    <t>Recomendação</t>
  </si>
  <si>
    <t>Padronizar leitura de QRCode dos apertos utilizando Poka-Yoke.</t>
  </si>
  <si>
    <t>Revisar processo de preparação da superfície antes da pintura.</t>
  </si>
  <si>
    <t>Implantar validação funcional obrigatória da central multimídia.</t>
  </si>
  <si>
    <t>Intensificar treinamentos na área de Montagem.</t>
  </si>
  <si>
    <t>Monitorar indicadores mensalmente para validar a eficácia das ações.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</si>
</sst>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2C3A3A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1" xfId="0" pivotButton="1" applyBorder="1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1" xfId="0" applyNumberFormat="1" applyBorder="1"/>
    <xf numFmtId="10" fontId="0" fillId="0" borderId="1" xfId="1" applyNumberFormat="1" applyFont="1" applyBorder="1"/>
    <xf numFmtId="0" fontId="0" fillId="2" borderId="1" xfId="0" applyFill="1" applyBorder="1"/>
    <xf numFmtId="0" fontId="0" fillId="4" borderId="0" xfId="0" applyFill="1"/>
    <xf numFmtId="0" fontId="2" fillId="6" borderId="1" xfId="0" applyFont="1" applyFill="1" applyBorder="1"/>
    <xf numFmtId="0" fontId="2" fillId="6" borderId="0" xfId="0" applyFont="1" applyFill="1"/>
    <xf numFmtId="0" fontId="0" fillId="7" borderId="1" xfId="0" applyFill="1" applyBorder="1"/>
    <xf numFmtId="0" fontId="0" fillId="8" borderId="0" xfId="0" applyFill="1"/>
    <xf numFmtId="0" fontId="5" fillId="5" borderId="0" xfId="0" applyFont="1" applyFill="1"/>
    <xf numFmtId="0" fontId="2" fillId="7" borderId="1" xfId="0" applyFont="1" applyFill="1" applyBorder="1"/>
    <xf numFmtId="0" fontId="0" fillId="7" borderId="0" xfId="0" applyFill="1"/>
    <xf numFmtId="0" fontId="2" fillId="7" borderId="0" xfId="0" applyFont="1" applyFill="1"/>
    <xf numFmtId="0" fontId="0" fillId="0" borderId="0" xfId="0" applyBorder="1"/>
    <xf numFmtId="9" fontId="0" fillId="0" borderId="0" xfId="0" applyNumberFormat="1"/>
    <xf numFmtId="0" fontId="0" fillId="0" borderId="1" xfId="1" applyNumberFormat="1" applyFont="1" applyBorder="1"/>
    <xf numFmtId="0" fontId="2" fillId="5" borderId="0" xfId="0" applyFont="1" applyFill="1" applyAlignment="1">
      <alignment horizontal="center"/>
    </xf>
    <xf numFmtId="0" fontId="0" fillId="7" borderId="1" xfId="0" applyFill="1" applyBorder="1" applyAlignment="1">
      <alignment wrapText="1"/>
    </xf>
    <xf numFmtId="0" fontId="2" fillId="7" borderId="1" xfId="0" applyFont="1" applyFill="1" applyBorder="1" applyAlignment="1">
      <alignment wrapText="1"/>
    </xf>
    <xf numFmtId="0" fontId="0" fillId="9" borderId="1" xfId="0" applyFill="1" applyBorder="1"/>
    <xf numFmtId="0" fontId="2" fillId="5" borderId="1" xfId="0" applyFont="1" applyFill="1" applyBorder="1"/>
    <xf numFmtId="0" fontId="2" fillId="9" borderId="1" xfId="0" applyFont="1" applyFill="1" applyBorder="1"/>
    <xf numFmtId="0" fontId="2" fillId="3" borderId="0" xfId="0" applyFont="1" applyFill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10" fontId="0" fillId="0" borderId="0" xfId="0" applyNumberFormat="1"/>
  </cellXfs>
  <cellStyles count="2">
    <cellStyle name="Normal" xfId="0" builtinId="0"/>
    <cellStyle name="Porcentagem" xfId="1" builtinId="5"/>
  </cellStyles>
  <dxfs count="234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</dxf>
    <dxf>
      <numFmt numFmtId="0" formatCode="General"/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numFmt numFmtId="0" formatCode="General"/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2" tint="-0.499984740745262"/>
        </patternFill>
      </fill>
      <alignment horizontal="center" vertical="bottom" textRotation="0" wrapText="0" indent="0" justifyLastLine="0" shrinkToFit="0" readingOrder="0"/>
    </dxf>
    <dxf>
      <font>
        <color rgb="FF362E2E"/>
      </font>
    </dxf>
    <dxf>
      <font>
        <color theme="0"/>
      </font>
      <fill>
        <patternFill>
          <bgColor rgb="FF362E2E"/>
        </patternFill>
      </fill>
    </dxf>
  </dxfs>
  <tableStyles count="2" defaultTableStyle="TableStyleMedium2" defaultPivotStyle="PivotStyleLight16">
    <tableStyle name="Estilo Dashboard" pivot="0" table="0" count="3" xr9:uid="{D4DA6A27-A192-49E6-A89B-5EAB0397FC10}">
      <tableStyleElement type="wholeTable" dxfId="233"/>
    </tableStyle>
    <tableStyle name="Estilo de Segmentação de Dados 1" pivot="0" table="0" count="1" xr9:uid="{C7CAD5AE-55D3-4059-99BE-B0E2585E58CF}">
      <tableStyleElement type="wholeTable" dxfId="232"/>
    </tableStyle>
  </tableStyles>
  <colors>
    <mruColors>
      <color rgb="FF2C3A3A"/>
      <color rgb="FF2C3939"/>
      <color rgb="FFD92727"/>
      <color rgb="FF66FF33"/>
      <color rgb="FF7890A8"/>
      <color rgb="FF362E2E"/>
      <color rgb="FF1D1F20"/>
      <color rgb="FF304878"/>
      <color rgb="FFF0A818"/>
      <color rgb="FF181848"/>
    </mruColors>
  </colors>
  <extLst>
    <ext xmlns:x14="http://schemas.microsoft.com/office/spreadsheetml/2009/9/main" uri="{46F421CA-312F-682f-3DD2-61675219B42D}">
      <x14:dxfs count="2">
        <dxf>
          <font>
            <b/>
            <i val="0"/>
            <color theme="2" tint="-9.9948118533890809E-2"/>
          </font>
          <fill>
            <patternFill>
              <bgColor theme="0"/>
            </patternFill>
          </fill>
        </dxf>
        <dxf>
          <font>
            <b/>
            <i val="0"/>
            <sz val="16"/>
            <color theme="1" tint="0.24994659260841701"/>
          </font>
          <fill>
            <patternFill>
              <bgColor theme="0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ashboard">
          <x14:slicerStyleElements>
            <x14:slicerStyleElement type="selectedItemWithData" dxfId="1"/>
            <x14:slicerStyleElement type="hoveredSelectedItemWithData" dxfId="0"/>
          </x14:slicerStyleElements>
        </x14:slicerStyle>
        <x14:slicerStyle name="Estilo de Segmentação de Dad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[dashboard-qualidade-automotiva-2025.xlsx]Auxiliar!Tabela dinâmica1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Auxiliar!$C$2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Auxiliar!$B$3:$B$15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Auxiliar!$C$3:$C$15</c:f>
              <c:numCache>
                <c:formatCode>General</c:formatCode>
                <c:ptCount val="12"/>
                <c:pt idx="0">
                  <c:v>165</c:v>
                </c:pt>
                <c:pt idx="1">
                  <c:v>131</c:v>
                </c:pt>
                <c:pt idx="2">
                  <c:v>157</c:v>
                </c:pt>
                <c:pt idx="3">
                  <c:v>123</c:v>
                </c:pt>
                <c:pt idx="4">
                  <c:v>85</c:v>
                </c:pt>
                <c:pt idx="5">
                  <c:v>62</c:v>
                </c:pt>
                <c:pt idx="6">
                  <c:v>124</c:v>
                </c:pt>
                <c:pt idx="7">
                  <c:v>136</c:v>
                </c:pt>
                <c:pt idx="8">
                  <c:v>114</c:v>
                </c:pt>
                <c:pt idx="9">
                  <c:v>109</c:v>
                </c:pt>
                <c:pt idx="10">
                  <c:v>108</c:v>
                </c:pt>
                <c:pt idx="11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BE-45EC-84CD-0AE73E17A5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9866063"/>
        <c:axId val="1439864623"/>
      </c:barChart>
      <c:catAx>
        <c:axId val="1439866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9864623"/>
        <c:crosses val="autoZero"/>
        <c:auto val="1"/>
        <c:lblAlgn val="ctr"/>
        <c:lblOffset val="100"/>
        <c:noMultiLvlLbl val="0"/>
      </c:catAx>
      <c:valAx>
        <c:axId val="143986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9866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PRODUÇAÕ X DEFEITOS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Auxiliar!$H$39:$H$50</c:f>
              <c:numCache>
                <c:formatCode>General</c:formatCode>
                <c:ptCount val="12"/>
                <c:pt idx="0">
                  <c:v>3518</c:v>
                </c:pt>
                <c:pt idx="1">
                  <c:v>3345</c:v>
                </c:pt>
                <c:pt idx="2">
                  <c:v>3440</c:v>
                </c:pt>
                <c:pt idx="3">
                  <c:v>2843</c:v>
                </c:pt>
                <c:pt idx="4">
                  <c:v>1627</c:v>
                </c:pt>
                <c:pt idx="5">
                  <c:v>1408</c:v>
                </c:pt>
                <c:pt idx="6">
                  <c:v>3072</c:v>
                </c:pt>
                <c:pt idx="7">
                  <c:v>3078</c:v>
                </c:pt>
                <c:pt idx="8">
                  <c:v>3112</c:v>
                </c:pt>
                <c:pt idx="9">
                  <c:v>3433</c:v>
                </c:pt>
                <c:pt idx="10">
                  <c:v>3184</c:v>
                </c:pt>
                <c:pt idx="11">
                  <c:v>3152</c:v>
                </c:pt>
              </c:numCache>
            </c:numRef>
          </c:xVal>
          <c:yVal>
            <c:numRef>
              <c:f>Auxiliar!$I$39:$I$50</c:f>
              <c:numCache>
                <c:formatCode>General</c:formatCode>
                <c:ptCount val="12"/>
                <c:pt idx="0">
                  <c:v>165</c:v>
                </c:pt>
                <c:pt idx="1">
                  <c:v>131</c:v>
                </c:pt>
                <c:pt idx="2">
                  <c:v>157</c:v>
                </c:pt>
                <c:pt idx="3">
                  <c:v>123</c:v>
                </c:pt>
                <c:pt idx="4">
                  <c:v>85</c:v>
                </c:pt>
                <c:pt idx="5">
                  <c:v>62</c:v>
                </c:pt>
                <c:pt idx="6">
                  <c:v>124</c:v>
                </c:pt>
                <c:pt idx="7">
                  <c:v>136</c:v>
                </c:pt>
                <c:pt idx="8">
                  <c:v>114</c:v>
                </c:pt>
                <c:pt idx="9">
                  <c:v>109</c:v>
                </c:pt>
                <c:pt idx="10">
                  <c:v>108</c:v>
                </c:pt>
                <c:pt idx="11">
                  <c:v>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22-4CD5-9757-82D27D460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9595776"/>
        <c:axId val="1209596736"/>
      </c:scatterChart>
      <c:valAx>
        <c:axId val="1209595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9596736"/>
        <c:crosses val="autoZero"/>
        <c:crossBetween val="midCat"/>
      </c:valAx>
      <c:valAx>
        <c:axId val="120959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9595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DEFEITOS X POS VENDA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Auxiliar!$I$52</c:f>
              <c:strCache>
                <c:ptCount val="1"/>
                <c:pt idx="0">
                  <c:v>Pós-Venda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Auxiliar!$H$53:$H$63</c:f>
              <c:numCache>
                <c:formatCode>General</c:formatCode>
                <c:ptCount val="11"/>
                <c:pt idx="0">
                  <c:v>165</c:v>
                </c:pt>
                <c:pt idx="1">
                  <c:v>131</c:v>
                </c:pt>
                <c:pt idx="2">
                  <c:v>157</c:v>
                </c:pt>
                <c:pt idx="3">
                  <c:v>123</c:v>
                </c:pt>
                <c:pt idx="4">
                  <c:v>85</c:v>
                </c:pt>
                <c:pt idx="5">
                  <c:v>62</c:v>
                </c:pt>
                <c:pt idx="6">
                  <c:v>124</c:v>
                </c:pt>
                <c:pt idx="7">
                  <c:v>136</c:v>
                </c:pt>
                <c:pt idx="8">
                  <c:v>114</c:v>
                </c:pt>
                <c:pt idx="9">
                  <c:v>109</c:v>
                </c:pt>
                <c:pt idx="10">
                  <c:v>108</c:v>
                </c:pt>
              </c:numCache>
            </c:numRef>
          </c:xVal>
          <c:yVal>
            <c:numRef>
              <c:f>Auxiliar!$I$53:$I$63</c:f>
              <c:numCache>
                <c:formatCode>General</c:formatCode>
                <c:ptCount val="11"/>
                <c:pt idx="0">
                  <c:v>92</c:v>
                </c:pt>
                <c:pt idx="1">
                  <c:v>72</c:v>
                </c:pt>
                <c:pt idx="2">
                  <c:v>86</c:v>
                </c:pt>
                <c:pt idx="3">
                  <c:v>70</c:v>
                </c:pt>
                <c:pt idx="4">
                  <c:v>36</c:v>
                </c:pt>
                <c:pt idx="5">
                  <c:v>24</c:v>
                </c:pt>
                <c:pt idx="6">
                  <c:v>56</c:v>
                </c:pt>
                <c:pt idx="7">
                  <c:v>58</c:v>
                </c:pt>
                <c:pt idx="8">
                  <c:v>59</c:v>
                </c:pt>
                <c:pt idx="9">
                  <c:v>48</c:v>
                </c:pt>
                <c:pt idx="10">
                  <c:v>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47-49A7-BCCB-B2EB5E8835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9523680"/>
        <c:axId val="1549525600"/>
      </c:scatterChart>
      <c:valAx>
        <c:axId val="154952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9525600"/>
        <c:crosses val="autoZero"/>
        <c:crossBetween val="midCat"/>
      </c:valAx>
      <c:valAx>
        <c:axId val="154952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952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[dashboard-qualidade-automotiva-2025.xlsx]Auxiliar!Tabela dinâmica4</c:name>
    <c:fmtId val="15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D92727"/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D92727"/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0A818"/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0A818"/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>
              <a:lumMod val="60000"/>
              <a:lumOff val="4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Auxiliar!$L$2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Auxiliar!$K$3:$K$12</c:f>
              <c:strCache>
                <c:ptCount val="9"/>
                <c:pt idx="0">
                  <c:v>Montagem</c:v>
                </c:pt>
                <c:pt idx="1">
                  <c:v>Pintura</c:v>
                </c:pt>
                <c:pt idx="2">
                  <c:v>Eletrônica</c:v>
                </c:pt>
                <c:pt idx="3">
                  <c:v>Acabamento</c:v>
                </c:pt>
                <c:pt idx="4">
                  <c:v>Elétrica</c:v>
                </c:pt>
                <c:pt idx="5">
                  <c:v>Powertrain</c:v>
                </c:pt>
                <c:pt idx="6">
                  <c:v>Carroceria</c:v>
                </c:pt>
                <c:pt idx="7">
                  <c:v>Chassi</c:v>
                </c:pt>
                <c:pt idx="8">
                  <c:v>Segurança</c:v>
                </c:pt>
              </c:strCache>
            </c:strRef>
          </c:cat>
          <c:val>
            <c:numRef>
              <c:f>Auxiliar!$L$3:$L$12</c:f>
              <c:numCache>
                <c:formatCode>General</c:formatCode>
                <c:ptCount val="9"/>
                <c:pt idx="0">
                  <c:v>194</c:v>
                </c:pt>
                <c:pt idx="1">
                  <c:v>151</c:v>
                </c:pt>
                <c:pt idx="2">
                  <c:v>77</c:v>
                </c:pt>
                <c:pt idx="3">
                  <c:v>35</c:v>
                </c:pt>
                <c:pt idx="4">
                  <c:v>30</c:v>
                </c:pt>
                <c:pt idx="5">
                  <c:v>24</c:v>
                </c:pt>
                <c:pt idx="6">
                  <c:v>14</c:v>
                </c:pt>
                <c:pt idx="7">
                  <c:v>13</c:v>
                </c:pt>
                <c:pt idx="8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52-4B9B-B555-16FE4887C6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0"/>
        <c:overlap val="-27"/>
        <c:axId val="191661552"/>
        <c:axId val="191659152"/>
      </c:barChart>
      <c:catAx>
        <c:axId val="191661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659152"/>
        <c:crosses val="autoZero"/>
        <c:auto val="1"/>
        <c:lblAlgn val="ctr"/>
        <c:lblOffset val="100"/>
        <c:noMultiLvlLbl val="0"/>
      </c:catAx>
      <c:valAx>
        <c:axId val="1916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661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1">
        <a:lumMod val="75000"/>
        <a:lumOff val="25000"/>
      </a:schemeClr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Auxiliar!$I$21</c:f>
              <c:strCache>
                <c:ptCount val="1"/>
                <c:pt idx="0">
                  <c:v>Ocorrência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Auxiliar!$H$22:$H$35</c:f>
              <c:strCache>
                <c:ptCount val="14"/>
                <c:pt idx="0">
                  <c:v>Torque fora da especificação</c:v>
                </c:pt>
                <c:pt idx="1">
                  <c:v>Falha na pintura</c:v>
                </c:pt>
                <c:pt idx="2">
                  <c:v>Falha na central multimídia</c:v>
                </c:pt>
                <c:pt idx="3">
                  <c:v>Ruído interno</c:v>
                </c:pt>
                <c:pt idx="4">
                  <c:v>Parafuso ausente</c:v>
                </c:pt>
                <c:pt idx="5">
                  <c:v>Falha no sensor ABS</c:v>
                </c:pt>
                <c:pt idx="6">
                  <c:v>Risco na carroceria</c:v>
                </c:pt>
                <c:pt idx="7">
                  <c:v>Desalinhamento das portas</c:v>
                </c:pt>
                <c:pt idx="8">
                  <c:v>Ruído na suspensão</c:v>
                </c:pt>
                <c:pt idx="9">
                  <c:v>Falha no chicote elétrico</c:v>
                </c:pt>
                <c:pt idx="10">
                  <c:v>Vazamento de óleo</c:v>
                </c:pt>
                <c:pt idx="11">
                  <c:v>Airbag com falha de comunicação</c:v>
                </c:pt>
                <c:pt idx="12">
                  <c:v>Falha na vedação</c:v>
                </c:pt>
                <c:pt idx="13">
                  <c:v>Vazamento de líquido de arrefecimento</c:v>
                </c:pt>
              </c:strCache>
            </c:strRef>
          </c:cat>
          <c:val>
            <c:numRef>
              <c:f>Auxiliar!$I$22:$I$35</c:f>
              <c:numCache>
                <c:formatCode>General</c:formatCode>
                <c:ptCount val="14"/>
                <c:pt idx="0">
                  <c:v>173</c:v>
                </c:pt>
                <c:pt idx="1">
                  <c:v>135</c:v>
                </c:pt>
                <c:pt idx="2">
                  <c:v>77</c:v>
                </c:pt>
                <c:pt idx="3">
                  <c:v>23</c:v>
                </c:pt>
                <c:pt idx="4">
                  <c:v>21</c:v>
                </c:pt>
                <c:pt idx="5">
                  <c:v>17</c:v>
                </c:pt>
                <c:pt idx="6">
                  <c:v>16</c:v>
                </c:pt>
                <c:pt idx="7">
                  <c:v>14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12</c:v>
                </c:pt>
                <c:pt idx="12">
                  <c:v>12</c:v>
                </c:pt>
                <c:pt idx="1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9B-4E6F-B47B-88CDFFDC5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977682672"/>
        <c:axId val="1977682192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Auxiliar!$J$21</c15:sqref>
                        </c15:formulaRef>
                      </c:ext>
                    </c:extLst>
                    <c:strCache>
                      <c:ptCount val="1"/>
                      <c:pt idx="0">
                        <c:v>%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Auxiliar!$H$22:$H$35</c15:sqref>
                        </c15:formulaRef>
                      </c:ext>
                    </c:extLst>
                    <c:strCache>
                      <c:ptCount val="14"/>
                      <c:pt idx="0">
                        <c:v>Torque fora da especificação</c:v>
                      </c:pt>
                      <c:pt idx="1">
                        <c:v>Falha na pintura</c:v>
                      </c:pt>
                      <c:pt idx="2">
                        <c:v>Falha na central multimídia</c:v>
                      </c:pt>
                      <c:pt idx="3">
                        <c:v>Ruído interno</c:v>
                      </c:pt>
                      <c:pt idx="4">
                        <c:v>Parafuso ausente</c:v>
                      </c:pt>
                      <c:pt idx="5">
                        <c:v>Falha no sensor ABS</c:v>
                      </c:pt>
                      <c:pt idx="6">
                        <c:v>Risco na carroceria</c:v>
                      </c:pt>
                      <c:pt idx="7">
                        <c:v>Desalinhamento das portas</c:v>
                      </c:pt>
                      <c:pt idx="8">
                        <c:v>Ruído na suspensão</c:v>
                      </c:pt>
                      <c:pt idx="9">
                        <c:v>Falha no chicote elétrico</c:v>
                      </c:pt>
                      <c:pt idx="10">
                        <c:v>Vazamento de óleo</c:v>
                      </c:pt>
                      <c:pt idx="11">
                        <c:v>Airbag com falha de comunicação</c:v>
                      </c:pt>
                      <c:pt idx="12">
                        <c:v>Falha na vedação</c:v>
                      </c:pt>
                      <c:pt idx="13">
                        <c:v>Vazamento de líquido de arrefecimento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Auxiliar!$J$22:$J$35</c15:sqref>
                        </c15:formulaRef>
                      </c:ext>
                    </c:extLst>
                    <c:numCache>
                      <c:formatCode>0.00%</c:formatCode>
                      <c:ptCount val="14"/>
                      <c:pt idx="0">
                        <c:v>0.31454545454545457</c:v>
                      </c:pt>
                      <c:pt idx="1">
                        <c:v>0.24545454545454545</c:v>
                      </c:pt>
                      <c:pt idx="2">
                        <c:v>0.14000000000000001</c:v>
                      </c:pt>
                      <c:pt idx="3">
                        <c:v>4.1818181818181817E-2</c:v>
                      </c:pt>
                      <c:pt idx="4">
                        <c:v>3.8181818181818185E-2</c:v>
                      </c:pt>
                      <c:pt idx="5">
                        <c:v>3.090909090909091E-2</c:v>
                      </c:pt>
                      <c:pt idx="6">
                        <c:v>2.9090909090909091E-2</c:v>
                      </c:pt>
                      <c:pt idx="7">
                        <c:v>2.5454545454545455E-2</c:v>
                      </c:pt>
                      <c:pt idx="8">
                        <c:v>2.3636363636363636E-2</c:v>
                      </c:pt>
                      <c:pt idx="9">
                        <c:v>2.3636363636363636E-2</c:v>
                      </c:pt>
                      <c:pt idx="10">
                        <c:v>2.3636363636363636E-2</c:v>
                      </c:pt>
                      <c:pt idx="11">
                        <c:v>2.181818181818182E-2</c:v>
                      </c:pt>
                      <c:pt idx="12">
                        <c:v>2.181818181818182E-2</c:v>
                      </c:pt>
                      <c:pt idx="13">
                        <c:v>0.02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39B-4E6F-B47B-88CDFFDC50D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strRef>
              <c:f>Auxiliar!$K$21</c:f>
              <c:strCache>
                <c:ptCount val="1"/>
                <c:pt idx="0">
                  <c:v>% Acumulada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Auxiliar!$H$22:$H$35</c:f>
              <c:strCache>
                <c:ptCount val="14"/>
                <c:pt idx="0">
                  <c:v>Torque fora da especificação</c:v>
                </c:pt>
                <c:pt idx="1">
                  <c:v>Falha na pintura</c:v>
                </c:pt>
                <c:pt idx="2">
                  <c:v>Falha na central multimídia</c:v>
                </c:pt>
                <c:pt idx="3">
                  <c:v>Ruído interno</c:v>
                </c:pt>
                <c:pt idx="4">
                  <c:v>Parafuso ausente</c:v>
                </c:pt>
                <c:pt idx="5">
                  <c:v>Falha no sensor ABS</c:v>
                </c:pt>
                <c:pt idx="6">
                  <c:v>Risco na carroceria</c:v>
                </c:pt>
                <c:pt idx="7">
                  <c:v>Desalinhamento das portas</c:v>
                </c:pt>
                <c:pt idx="8">
                  <c:v>Ruído na suspensão</c:v>
                </c:pt>
                <c:pt idx="9">
                  <c:v>Falha no chicote elétrico</c:v>
                </c:pt>
                <c:pt idx="10">
                  <c:v>Vazamento de óleo</c:v>
                </c:pt>
                <c:pt idx="11">
                  <c:v>Airbag com falha de comunicação</c:v>
                </c:pt>
                <c:pt idx="12">
                  <c:v>Falha na vedação</c:v>
                </c:pt>
                <c:pt idx="13">
                  <c:v>Vazamento de líquido de arrefecimento</c:v>
                </c:pt>
              </c:strCache>
            </c:strRef>
          </c:cat>
          <c:val>
            <c:numRef>
              <c:f>Auxiliar!$K$22:$K$35</c:f>
              <c:numCache>
                <c:formatCode>0.00%</c:formatCode>
                <c:ptCount val="14"/>
                <c:pt idx="0">
                  <c:v>0.31454545454545457</c:v>
                </c:pt>
                <c:pt idx="1">
                  <c:v>0.56000000000000005</c:v>
                </c:pt>
                <c:pt idx="2">
                  <c:v>0.70000000000000007</c:v>
                </c:pt>
                <c:pt idx="3">
                  <c:v>0.74181818181818193</c:v>
                </c:pt>
                <c:pt idx="4">
                  <c:v>0.78000000000000014</c:v>
                </c:pt>
                <c:pt idx="5">
                  <c:v>0.81090909090909102</c:v>
                </c:pt>
                <c:pt idx="6">
                  <c:v>0.84000000000000008</c:v>
                </c:pt>
                <c:pt idx="7">
                  <c:v>0.86545454545454559</c:v>
                </c:pt>
                <c:pt idx="8">
                  <c:v>0.88909090909090926</c:v>
                </c:pt>
                <c:pt idx="9">
                  <c:v>0.91272727272727294</c:v>
                </c:pt>
                <c:pt idx="10">
                  <c:v>0.93636363636363662</c:v>
                </c:pt>
                <c:pt idx="11">
                  <c:v>0.95818181818181847</c:v>
                </c:pt>
                <c:pt idx="12">
                  <c:v>0.98000000000000032</c:v>
                </c:pt>
                <c:pt idx="13">
                  <c:v>1.0000000000000002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9B-4E6F-B47B-88CDFFDC5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1917808"/>
        <c:axId val="341920688"/>
      </c:lineChart>
      <c:catAx>
        <c:axId val="1977682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7682192"/>
        <c:crosses val="autoZero"/>
        <c:auto val="1"/>
        <c:lblAlgn val="ctr"/>
        <c:lblOffset val="100"/>
        <c:noMultiLvlLbl val="0"/>
      </c:catAx>
      <c:valAx>
        <c:axId val="1977682192"/>
        <c:scaling>
          <c:orientation val="minMax"/>
          <c:max val="3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7682672"/>
        <c:crosses val="autoZero"/>
        <c:crossBetween val="between"/>
      </c:valAx>
      <c:valAx>
        <c:axId val="341920688"/>
        <c:scaling>
          <c:orientation val="minMax"/>
          <c:max val="1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1917808"/>
        <c:crosses val="max"/>
        <c:crossBetween val="between"/>
      </c:valAx>
      <c:catAx>
        <c:axId val="3419178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19206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1">
        <a:lumMod val="75000"/>
        <a:lumOff val="25000"/>
      </a:schemeClr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[dashboard-qualidade-automotiva-2025.xlsx]Auxiliar!Tabela dinâmica1</c:name>
    <c:fmtId val="1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>
              <a:lumMod val="60000"/>
              <a:lumOff val="40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Auxiliar!$C$2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Auxiliar!$B$3:$B$15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Auxiliar!$C$3:$C$15</c:f>
              <c:numCache>
                <c:formatCode>General</c:formatCode>
                <c:ptCount val="12"/>
                <c:pt idx="0">
                  <c:v>165</c:v>
                </c:pt>
                <c:pt idx="1">
                  <c:v>131</c:v>
                </c:pt>
                <c:pt idx="2">
                  <c:v>157</c:v>
                </c:pt>
                <c:pt idx="3">
                  <c:v>123</c:v>
                </c:pt>
                <c:pt idx="4">
                  <c:v>85</c:v>
                </c:pt>
                <c:pt idx="5">
                  <c:v>62</c:v>
                </c:pt>
                <c:pt idx="6">
                  <c:v>124</c:v>
                </c:pt>
                <c:pt idx="7">
                  <c:v>136</c:v>
                </c:pt>
                <c:pt idx="8">
                  <c:v>114</c:v>
                </c:pt>
                <c:pt idx="9">
                  <c:v>109</c:v>
                </c:pt>
                <c:pt idx="10">
                  <c:v>108</c:v>
                </c:pt>
                <c:pt idx="11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35-4E97-B119-8879C5D8791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39866063"/>
        <c:axId val="1439864623"/>
      </c:barChart>
      <c:catAx>
        <c:axId val="1439866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9864623"/>
        <c:crosses val="autoZero"/>
        <c:auto val="1"/>
        <c:lblAlgn val="ctr"/>
        <c:lblOffset val="100"/>
        <c:noMultiLvlLbl val="0"/>
      </c:catAx>
      <c:valAx>
        <c:axId val="1439864623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3986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tx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bg1"/>
                </a:solidFill>
              </a:rPr>
              <a:t>Produção x Defeitos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forward val="2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xVal>
            <c:numRef>
              <c:f>Auxiliar!$H$39:$H$51</c:f>
              <c:numCache>
                <c:formatCode>General</c:formatCode>
                <c:ptCount val="13"/>
                <c:pt idx="0">
                  <c:v>3518</c:v>
                </c:pt>
                <c:pt idx="1">
                  <c:v>3345</c:v>
                </c:pt>
                <c:pt idx="2">
                  <c:v>3440</c:v>
                </c:pt>
                <c:pt idx="3">
                  <c:v>2843</c:v>
                </c:pt>
                <c:pt idx="4">
                  <c:v>1627</c:v>
                </c:pt>
                <c:pt idx="5">
                  <c:v>1408</c:v>
                </c:pt>
                <c:pt idx="6">
                  <c:v>3072</c:v>
                </c:pt>
                <c:pt idx="7">
                  <c:v>3078</c:v>
                </c:pt>
                <c:pt idx="8">
                  <c:v>3112</c:v>
                </c:pt>
                <c:pt idx="9">
                  <c:v>3433</c:v>
                </c:pt>
                <c:pt idx="10">
                  <c:v>3184</c:v>
                </c:pt>
                <c:pt idx="11">
                  <c:v>3152</c:v>
                </c:pt>
              </c:numCache>
            </c:numRef>
          </c:xVal>
          <c:yVal>
            <c:numRef>
              <c:f>Auxiliar!$I$39:$I$51</c:f>
              <c:numCache>
                <c:formatCode>General</c:formatCode>
                <c:ptCount val="13"/>
                <c:pt idx="0">
                  <c:v>165</c:v>
                </c:pt>
                <c:pt idx="1">
                  <c:v>131</c:v>
                </c:pt>
                <c:pt idx="2">
                  <c:v>157</c:v>
                </c:pt>
                <c:pt idx="3">
                  <c:v>123</c:v>
                </c:pt>
                <c:pt idx="4">
                  <c:v>85</c:v>
                </c:pt>
                <c:pt idx="5">
                  <c:v>62</c:v>
                </c:pt>
                <c:pt idx="6">
                  <c:v>124</c:v>
                </c:pt>
                <c:pt idx="7">
                  <c:v>136</c:v>
                </c:pt>
                <c:pt idx="8">
                  <c:v>114</c:v>
                </c:pt>
                <c:pt idx="9">
                  <c:v>109</c:v>
                </c:pt>
                <c:pt idx="10">
                  <c:v>108</c:v>
                </c:pt>
                <c:pt idx="11">
                  <c:v>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5E0-4B66-9A12-6E62C040A5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9595776"/>
        <c:axId val="1209596736"/>
      </c:scatterChart>
      <c:valAx>
        <c:axId val="1209595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>
                    <a:solidFill>
                      <a:schemeClr val="bg1"/>
                    </a:solidFill>
                  </a:rPr>
                  <a:t>PRODUÇÃO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9596736"/>
        <c:crosses val="autoZero"/>
        <c:crossBetween val="midCat"/>
      </c:valAx>
      <c:valAx>
        <c:axId val="1209596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>
                    <a:solidFill>
                      <a:schemeClr val="bg1"/>
                    </a:solidFill>
                  </a:rPr>
                  <a:t>DEFEITOS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9595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Defeitos x Pós-Venda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Auxiliar!$I$52</c:f>
              <c:strCache>
                <c:ptCount val="1"/>
                <c:pt idx="0">
                  <c:v>Pós-Venda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xVal>
            <c:numRef>
              <c:f>Auxiliar!$H$53:$H$63</c:f>
              <c:numCache>
                <c:formatCode>General</c:formatCode>
                <c:ptCount val="11"/>
                <c:pt idx="0">
                  <c:v>165</c:v>
                </c:pt>
                <c:pt idx="1">
                  <c:v>131</c:v>
                </c:pt>
                <c:pt idx="2">
                  <c:v>157</c:v>
                </c:pt>
                <c:pt idx="3">
                  <c:v>123</c:v>
                </c:pt>
                <c:pt idx="4">
                  <c:v>85</c:v>
                </c:pt>
                <c:pt idx="5">
                  <c:v>62</c:v>
                </c:pt>
                <c:pt idx="6">
                  <c:v>124</c:v>
                </c:pt>
                <c:pt idx="7">
                  <c:v>136</c:v>
                </c:pt>
                <c:pt idx="8">
                  <c:v>114</c:v>
                </c:pt>
                <c:pt idx="9">
                  <c:v>109</c:v>
                </c:pt>
                <c:pt idx="10">
                  <c:v>108</c:v>
                </c:pt>
              </c:numCache>
            </c:numRef>
          </c:xVal>
          <c:yVal>
            <c:numRef>
              <c:f>Auxiliar!$I$53:$I$63</c:f>
              <c:numCache>
                <c:formatCode>General</c:formatCode>
                <c:ptCount val="11"/>
                <c:pt idx="0">
                  <c:v>92</c:v>
                </c:pt>
                <c:pt idx="1">
                  <c:v>72</c:v>
                </c:pt>
                <c:pt idx="2">
                  <c:v>86</c:v>
                </c:pt>
                <c:pt idx="3">
                  <c:v>70</c:v>
                </c:pt>
                <c:pt idx="4">
                  <c:v>36</c:v>
                </c:pt>
                <c:pt idx="5">
                  <c:v>24</c:v>
                </c:pt>
                <c:pt idx="6">
                  <c:v>56</c:v>
                </c:pt>
                <c:pt idx="7">
                  <c:v>58</c:v>
                </c:pt>
                <c:pt idx="8">
                  <c:v>59</c:v>
                </c:pt>
                <c:pt idx="9">
                  <c:v>48</c:v>
                </c:pt>
                <c:pt idx="10">
                  <c:v>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3B-40E7-BF10-A522C77180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4767104"/>
        <c:axId val="1174763264"/>
      </c:scatterChart>
      <c:valAx>
        <c:axId val="1174767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bg1"/>
                    </a:solidFill>
                  </a:rPr>
                  <a:t>DEFEITOS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74763264"/>
        <c:crosses val="autoZero"/>
        <c:crossBetween val="midCat"/>
      </c:valAx>
      <c:valAx>
        <c:axId val="11747632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>
                    <a:solidFill>
                      <a:schemeClr val="bg1"/>
                    </a:solidFill>
                  </a:rPr>
                  <a:t>PÓS-VENDA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74767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356260</xdr:colOff>
      <xdr:row>20</xdr:row>
      <xdr:rowOff>7233</xdr:rowOff>
    </xdr:from>
    <xdr:to>
      <xdr:col>16</xdr:col>
      <xdr:colOff>197922</xdr:colOff>
      <xdr:row>35</xdr:row>
      <xdr:rowOff>78485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14E4084-5DA8-284C-0E18-CBC9ABDDC3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214646</xdr:colOff>
      <xdr:row>36</xdr:row>
      <xdr:rowOff>45075</xdr:rowOff>
    </xdr:from>
    <xdr:to>
      <xdr:col>13</xdr:col>
      <xdr:colOff>1030309</xdr:colOff>
      <xdr:row>49</xdr:row>
      <xdr:rowOff>150253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8D978AA-4732-D413-38BE-777F107C8B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214648</xdr:colOff>
      <xdr:row>51</xdr:row>
      <xdr:rowOff>23612</xdr:rowOff>
    </xdr:from>
    <xdr:to>
      <xdr:col>13</xdr:col>
      <xdr:colOff>912253</xdr:colOff>
      <xdr:row>64</xdr:row>
      <xdr:rowOff>64395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557E3C5-9E9D-3210-43DD-65E227A08A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9896</xdr:colOff>
      <xdr:row>0</xdr:row>
      <xdr:rowOff>0</xdr:rowOff>
    </xdr:from>
    <xdr:to>
      <xdr:col>22</xdr:col>
      <xdr:colOff>410490</xdr:colOff>
      <xdr:row>44</xdr:row>
      <xdr:rowOff>94996</xdr:rowOff>
    </xdr:to>
    <xdr:sp macro="" textlink="">
      <xdr:nvSpPr>
        <xdr:cNvPr id="6" name="Rectangle: Rounded Corners 1">
          <a:extLst>
            <a:ext uri="{FF2B5EF4-FFF2-40B4-BE49-F238E27FC236}">
              <a16:creationId xmlns:a16="http://schemas.microsoft.com/office/drawing/2014/main" id="{B59FE0DB-500A-455A-B7E5-C17EA19C0FAA}"/>
            </a:ext>
          </a:extLst>
        </xdr:cNvPr>
        <xdr:cNvSpPr/>
      </xdr:nvSpPr>
      <xdr:spPr>
        <a:xfrm>
          <a:off x="9896" y="0"/>
          <a:ext cx="13811794" cy="8057896"/>
        </a:xfrm>
        <a:prstGeom prst="roundRect">
          <a:avLst>
            <a:gd name="adj" fmla="val 928"/>
          </a:avLst>
        </a:prstGeom>
        <a:gradFill flip="none" rotWithShape="1">
          <a:gsLst>
            <a:gs pos="21000">
              <a:srgbClr val="1E1E28"/>
            </a:gs>
            <a:gs pos="73000">
              <a:srgbClr val="1C1E1C"/>
            </a:gs>
          </a:gsLst>
          <a:path path="circle">
            <a:fillToRect t="100000" r="100000"/>
          </a:path>
          <a:tileRect l="-100000" b="-100000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9896</xdr:colOff>
      <xdr:row>0</xdr:row>
      <xdr:rowOff>29687</xdr:rowOff>
    </xdr:from>
    <xdr:to>
      <xdr:col>3</xdr:col>
      <xdr:colOff>225050</xdr:colOff>
      <xdr:row>44</xdr:row>
      <xdr:rowOff>100853</xdr:rowOff>
    </xdr:to>
    <xdr:sp macro="" textlink="">
      <xdr:nvSpPr>
        <xdr:cNvPr id="7" name="Rectangle: Rounded Corners 2">
          <a:extLst>
            <a:ext uri="{FF2B5EF4-FFF2-40B4-BE49-F238E27FC236}">
              <a16:creationId xmlns:a16="http://schemas.microsoft.com/office/drawing/2014/main" id="{A58BF5CB-67FB-414C-958D-71E6398FE505}"/>
            </a:ext>
          </a:extLst>
        </xdr:cNvPr>
        <xdr:cNvSpPr/>
      </xdr:nvSpPr>
      <xdr:spPr>
        <a:xfrm>
          <a:off x="9896" y="29687"/>
          <a:ext cx="2043954" cy="8117886"/>
        </a:xfrm>
        <a:prstGeom prst="roundRect">
          <a:avLst>
            <a:gd name="adj" fmla="val 3556"/>
          </a:avLst>
        </a:prstGeom>
        <a:solidFill>
          <a:srgbClr val="362E2E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 editAs="oneCell">
    <xdr:from>
      <xdr:col>0</xdr:col>
      <xdr:colOff>97972</xdr:colOff>
      <xdr:row>13</xdr:row>
      <xdr:rowOff>32657</xdr:rowOff>
    </xdr:from>
    <xdr:to>
      <xdr:col>3</xdr:col>
      <xdr:colOff>111620</xdr:colOff>
      <xdr:row>21</xdr:row>
      <xdr:rowOff>65314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rimestre 2">
              <a:extLst>
                <a:ext uri="{FF2B5EF4-FFF2-40B4-BE49-F238E27FC236}">
                  <a16:creationId xmlns:a16="http://schemas.microsoft.com/office/drawing/2014/main" id="{7DCB9714-603B-4D4F-913C-F9C56DC1311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rimestre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972" y="2363481"/>
              <a:ext cx="1829001" cy="133125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87086</xdr:colOff>
      <xdr:row>23</xdr:row>
      <xdr:rowOff>54432</xdr:rowOff>
    </xdr:from>
    <xdr:to>
      <xdr:col>3</xdr:col>
      <xdr:colOff>100734</xdr:colOff>
      <xdr:row>39</xdr:row>
      <xdr:rowOff>48988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" name="Área 2">
              <a:extLst>
                <a:ext uri="{FF2B5EF4-FFF2-40B4-BE49-F238E27FC236}">
                  <a16:creationId xmlns:a16="http://schemas.microsoft.com/office/drawing/2014/main" id="{2A06A7D4-25C4-49F1-BB49-7A3F11E362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7086" y="4310746"/>
              <a:ext cx="1842448" cy="295547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4</xdr:col>
      <xdr:colOff>104873</xdr:colOff>
      <xdr:row>4</xdr:row>
      <xdr:rowOff>117707</xdr:rowOff>
    </xdr:from>
    <xdr:to>
      <xdr:col>7</xdr:col>
      <xdr:colOff>49983</xdr:colOff>
      <xdr:row>9</xdr:row>
      <xdr:rowOff>52914</xdr:rowOff>
    </xdr:to>
    <xdr:sp macro="" textlink="Auxiliar!C15">
      <xdr:nvSpPr>
        <xdr:cNvPr id="10" name="Retângulo: Cantos Arredondados 9">
          <a:extLst>
            <a:ext uri="{FF2B5EF4-FFF2-40B4-BE49-F238E27FC236}">
              <a16:creationId xmlns:a16="http://schemas.microsoft.com/office/drawing/2014/main" id="{6A8F9B34-5BE7-4145-9848-9E7975DEFBCE}"/>
            </a:ext>
          </a:extLst>
        </xdr:cNvPr>
        <xdr:cNvSpPr/>
      </xdr:nvSpPr>
      <xdr:spPr>
        <a:xfrm>
          <a:off x="2543273" y="857936"/>
          <a:ext cx="1773910" cy="860492"/>
        </a:xfrm>
        <a:prstGeom prst="roundRect">
          <a:avLst>
            <a:gd name="adj" fmla="val 0"/>
          </a:avLst>
        </a:prstGeom>
        <a:solidFill>
          <a:schemeClr val="tx1">
            <a:lumMod val="75000"/>
            <a:lumOff val="2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A1BA330-453C-4F59-912B-2C826FBFCE14}" type="TxLink">
            <a:rPr lang="en-US" sz="1800" b="0" i="0" u="none" strike="noStrike">
              <a:solidFill>
                <a:schemeClr val="bg1"/>
              </a:solidFill>
              <a:latin typeface="Aptos Narrow"/>
              <a:cs typeface="Arial" panose="020B0604020202020204" pitchFamily="34" charset="0"/>
            </a:rPr>
            <a:pPr algn="ctr"/>
            <a:t>1406</a:t>
          </a:fld>
          <a:endParaRPr lang="en-US" sz="1800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370886</xdr:colOff>
      <xdr:row>4</xdr:row>
      <xdr:rowOff>25117</xdr:rowOff>
    </xdr:from>
    <xdr:to>
      <xdr:col>7</xdr:col>
      <xdr:colOff>380496</xdr:colOff>
      <xdr:row>6</xdr:row>
      <xdr:rowOff>40913</xdr:rowOff>
    </xdr:to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E2FB6146-12D5-420E-B9BA-AB32DE941F52}"/>
            </a:ext>
          </a:extLst>
        </xdr:cNvPr>
        <xdr:cNvSpPr txBox="1"/>
      </xdr:nvSpPr>
      <xdr:spPr>
        <a:xfrm>
          <a:off x="2199686" y="765346"/>
          <a:ext cx="2448010" cy="3859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TOTAL</a:t>
          </a:r>
          <a:r>
            <a:rPr lang="pt-BR" sz="1200" b="1" baseline="0">
              <a:solidFill>
                <a:schemeClr val="bg1"/>
              </a:solidFill>
            </a:rPr>
            <a:t> DE OCORRÊNCIAS</a:t>
          </a:r>
          <a:endParaRPr lang="pt-BR" sz="1200" b="1">
            <a:solidFill>
              <a:schemeClr val="bg1"/>
            </a:solidFill>
          </a:endParaRPr>
        </a:p>
      </xdr:txBody>
    </xdr:sp>
    <xdr:clientData/>
  </xdr:twoCellAnchor>
  <xdr:twoCellAnchor>
    <xdr:from>
      <xdr:col>7</xdr:col>
      <xdr:colOff>608865</xdr:colOff>
      <xdr:row>4</xdr:row>
      <xdr:rowOff>106621</xdr:rowOff>
    </xdr:from>
    <xdr:to>
      <xdr:col>10</xdr:col>
      <xdr:colOff>564708</xdr:colOff>
      <xdr:row>9</xdr:row>
      <xdr:rowOff>42228</xdr:rowOff>
    </xdr:to>
    <xdr:sp macro="" textlink="Auxiliar!E3">
      <xdr:nvSpPr>
        <xdr:cNvPr id="12" name="Retângulo: Cantos Arredondados 11">
          <a:extLst>
            <a:ext uri="{FF2B5EF4-FFF2-40B4-BE49-F238E27FC236}">
              <a16:creationId xmlns:a16="http://schemas.microsoft.com/office/drawing/2014/main" id="{7D577F66-B8E4-40C9-A0B2-37FD127B4D33}"/>
            </a:ext>
          </a:extLst>
        </xdr:cNvPr>
        <xdr:cNvSpPr/>
      </xdr:nvSpPr>
      <xdr:spPr>
        <a:xfrm>
          <a:off x="4876065" y="846850"/>
          <a:ext cx="1784643" cy="860892"/>
        </a:xfrm>
        <a:prstGeom prst="roundRect">
          <a:avLst>
            <a:gd name="adj" fmla="val 0"/>
          </a:avLst>
        </a:prstGeom>
        <a:solidFill>
          <a:schemeClr val="tx1">
            <a:lumMod val="75000"/>
            <a:lumOff val="2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8B433220-13F8-41E5-A449-5EBA023A7B06}" type="TxLink">
            <a:rPr lang="en-US" sz="1800" b="0" i="0" u="none" strike="noStrike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SUV C</a:t>
          </a:fld>
          <a:endParaRPr lang="pt-BR" sz="1800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54981</xdr:colOff>
      <xdr:row>4</xdr:row>
      <xdr:rowOff>25332</xdr:rowOff>
    </xdr:from>
    <xdr:to>
      <xdr:col>10</xdr:col>
      <xdr:colOff>373578</xdr:colOff>
      <xdr:row>6</xdr:row>
      <xdr:rowOff>40699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81C2F20F-9ED5-4066-9DB9-1541A777B759}"/>
            </a:ext>
          </a:extLst>
        </xdr:cNvPr>
        <xdr:cNvSpPr txBox="1"/>
      </xdr:nvSpPr>
      <xdr:spPr>
        <a:xfrm>
          <a:off x="4919466" y="764241"/>
          <a:ext cx="1534718" cy="3848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MODELO CRÍTICO</a:t>
          </a:r>
        </a:p>
      </xdr:txBody>
    </xdr:sp>
    <xdr:clientData/>
  </xdr:twoCellAnchor>
  <xdr:twoCellAnchor>
    <xdr:from>
      <xdr:col>11</xdr:col>
      <xdr:colOff>513990</xdr:colOff>
      <xdr:row>4</xdr:row>
      <xdr:rowOff>106836</xdr:rowOff>
    </xdr:from>
    <xdr:to>
      <xdr:col>14</xdr:col>
      <xdr:colOff>471896</xdr:colOff>
      <xdr:row>9</xdr:row>
      <xdr:rowOff>42013</xdr:rowOff>
    </xdr:to>
    <xdr:sp macro="" textlink="Auxiliar!K3">
      <xdr:nvSpPr>
        <xdr:cNvPr id="14" name="Retângulo: Cantos Arredondados 13">
          <a:extLst>
            <a:ext uri="{FF2B5EF4-FFF2-40B4-BE49-F238E27FC236}">
              <a16:creationId xmlns:a16="http://schemas.microsoft.com/office/drawing/2014/main" id="{077C6F8E-FC38-4B5A-A0C4-502CF6924EAF}"/>
            </a:ext>
          </a:extLst>
        </xdr:cNvPr>
        <xdr:cNvSpPr/>
      </xdr:nvSpPr>
      <xdr:spPr>
        <a:xfrm>
          <a:off x="7219590" y="847065"/>
          <a:ext cx="1786706" cy="860462"/>
        </a:xfrm>
        <a:prstGeom prst="roundRect">
          <a:avLst>
            <a:gd name="adj" fmla="val 0"/>
          </a:avLst>
        </a:prstGeom>
        <a:solidFill>
          <a:schemeClr val="tx1">
            <a:lumMod val="75000"/>
            <a:lumOff val="2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2C02A59A-7E55-46F3-9A2B-AECD78ECCE38}" type="TxLink">
            <a:rPr lang="en-US" sz="1800" b="0" i="0" u="none" strike="noStrike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Montagem</a:t>
          </a:fld>
          <a:endParaRPr lang="pt-BR" sz="1800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11</xdr:col>
      <xdr:colOff>599971</xdr:colOff>
      <xdr:row>4</xdr:row>
      <xdr:rowOff>25332</xdr:rowOff>
    </xdr:from>
    <xdr:to>
      <xdr:col>14</xdr:col>
      <xdr:colOff>429086</xdr:colOff>
      <xdr:row>6</xdr:row>
      <xdr:rowOff>40699</xdr:rowOff>
    </xdr:to>
    <xdr:sp macro="" textlink="">
      <xdr:nvSpPr>
        <xdr:cNvPr id="15" name="CaixaDeTexto 14">
          <a:extLst>
            <a:ext uri="{FF2B5EF4-FFF2-40B4-BE49-F238E27FC236}">
              <a16:creationId xmlns:a16="http://schemas.microsoft.com/office/drawing/2014/main" id="{E1EAC939-ED11-4126-B3D6-2ACDD6A5D569}"/>
            </a:ext>
          </a:extLst>
        </xdr:cNvPr>
        <xdr:cNvSpPr txBox="1"/>
      </xdr:nvSpPr>
      <xdr:spPr>
        <a:xfrm>
          <a:off x="7305571" y="765561"/>
          <a:ext cx="1657915" cy="38548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ÁREA CRÍTICA</a:t>
          </a:r>
        </a:p>
      </xdr:txBody>
    </xdr:sp>
    <xdr:clientData/>
  </xdr:twoCellAnchor>
  <xdr:twoCellAnchor>
    <xdr:from>
      <xdr:col>15</xdr:col>
      <xdr:colOff>421178</xdr:colOff>
      <xdr:row>4</xdr:row>
      <xdr:rowOff>110886</xdr:rowOff>
    </xdr:from>
    <xdr:to>
      <xdr:col>18</xdr:col>
      <xdr:colOff>389817</xdr:colOff>
      <xdr:row>9</xdr:row>
      <xdr:rowOff>59735</xdr:rowOff>
    </xdr:to>
    <xdr:sp macro="" textlink="Auxiliar!H3">
      <xdr:nvSpPr>
        <xdr:cNvPr id="16" name="Retângulo: Cantos Arredondados 15">
          <a:extLst>
            <a:ext uri="{FF2B5EF4-FFF2-40B4-BE49-F238E27FC236}">
              <a16:creationId xmlns:a16="http://schemas.microsoft.com/office/drawing/2014/main" id="{375B69D4-6E5C-4370-ADE2-17D3C50BD790}"/>
            </a:ext>
          </a:extLst>
        </xdr:cNvPr>
        <xdr:cNvSpPr/>
      </xdr:nvSpPr>
      <xdr:spPr>
        <a:xfrm>
          <a:off x="9565178" y="851115"/>
          <a:ext cx="1797439" cy="874134"/>
        </a:xfrm>
        <a:prstGeom prst="roundRect">
          <a:avLst>
            <a:gd name="adj" fmla="val 0"/>
          </a:avLst>
        </a:prstGeom>
        <a:solidFill>
          <a:schemeClr val="tx1">
            <a:lumMod val="75000"/>
            <a:lumOff val="2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A9E6A90-7B17-4832-86FC-382B389C0CC1}" type="TxLink">
            <a:rPr lang="en-US" sz="1400" b="0" i="0" u="none" strike="noStrike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Torque fora da especificação</a:t>
          </a:fld>
          <a:endParaRPr lang="pt-BR" sz="1400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15</xdr:col>
      <xdr:colOff>509611</xdr:colOff>
      <xdr:row>4</xdr:row>
      <xdr:rowOff>25332</xdr:rowOff>
    </xdr:from>
    <xdr:to>
      <xdr:col>18</xdr:col>
      <xdr:colOff>381659</xdr:colOff>
      <xdr:row>6</xdr:row>
      <xdr:rowOff>40699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04CAD8CC-E3EC-49DF-858F-143D55312555}"/>
            </a:ext>
          </a:extLst>
        </xdr:cNvPr>
        <xdr:cNvSpPr txBox="1"/>
      </xdr:nvSpPr>
      <xdr:spPr>
        <a:xfrm>
          <a:off x="9653611" y="765561"/>
          <a:ext cx="1700848" cy="38548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PROBLEMA PRINCIPAL</a:t>
          </a:r>
        </a:p>
      </xdr:txBody>
    </xdr:sp>
    <xdr:clientData/>
  </xdr:twoCellAnchor>
  <xdr:twoCellAnchor>
    <xdr:from>
      <xdr:col>13</xdr:col>
      <xdr:colOff>154676</xdr:colOff>
      <xdr:row>10</xdr:row>
      <xdr:rowOff>107757</xdr:rowOff>
    </xdr:from>
    <xdr:to>
      <xdr:col>22</xdr:col>
      <xdr:colOff>315363</xdr:colOff>
      <xdr:row>24</xdr:row>
      <xdr:rowOff>164818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D8C5077A-A7C3-4320-A406-6B43D625EF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397565</xdr:colOff>
      <xdr:row>10</xdr:row>
      <xdr:rowOff>111383</xdr:rowOff>
    </xdr:from>
    <xdr:to>
      <xdr:col>13</xdr:col>
      <xdr:colOff>40601</xdr:colOff>
      <xdr:row>24</xdr:row>
      <xdr:rowOff>165926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9EB939CB-7300-4E8D-8BD9-9639BB48B9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409304</xdr:colOff>
      <xdr:row>26</xdr:row>
      <xdr:rowOff>2389</xdr:rowOff>
    </xdr:from>
    <xdr:to>
      <xdr:col>11</xdr:col>
      <xdr:colOff>60960</xdr:colOff>
      <xdr:row>40</xdr:row>
      <xdr:rowOff>180492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F59D5851-58F0-42E1-9824-05A32B25C0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159099</xdr:colOff>
      <xdr:row>0</xdr:row>
      <xdr:rowOff>25121</xdr:rowOff>
    </xdr:from>
    <xdr:to>
      <xdr:col>18</xdr:col>
      <xdr:colOff>175846</xdr:colOff>
      <xdr:row>3</xdr:row>
      <xdr:rowOff>25121</xdr:rowOff>
    </xdr:to>
    <xdr:sp macro="" textlink="">
      <xdr:nvSpPr>
        <xdr:cNvPr id="22" name="CaixaDeTexto 21">
          <a:extLst>
            <a:ext uri="{FF2B5EF4-FFF2-40B4-BE49-F238E27FC236}">
              <a16:creationId xmlns:a16="http://schemas.microsoft.com/office/drawing/2014/main" id="{36B37EAE-D4D2-7FE2-5AEE-A403731F27A8}"/>
            </a:ext>
          </a:extLst>
        </xdr:cNvPr>
        <xdr:cNvSpPr txBox="1"/>
      </xdr:nvSpPr>
      <xdr:spPr>
        <a:xfrm>
          <a:off x="4438022" y="25121"/>
          <a:ext cx="6740769" cy="5526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400" b="1">
              <a:solidFill>
                <a:schemeClr val="bg1"/>
              </a:solidFill>
            </a:rPr>
            <a:t>Dashboard de Indicadores da Qualidade Automotiva</a:t>
          </a:r>
        </a:p>
      </xdr:txBody>
    </xdr:sp>
    <xdr:clientData/>
  </xdr:twoCellAnchor>
  <xdr:twoCellAnchor>
    <xdr:from>
      <xdr:col>9</xdr:col>
      <xdr:colOff>330843</xdr:colOff>
      <xdr:row>2</xdr:row>
      <xdr:rowOff>17501</xdr:rowOff>
    </xdr:from>
    <xdr:to>
      <xdr:col>16</xdr:col>
      <xdr:colOff>121921</xdr:colOff>
      <xdr:row>4</xdr:row>
      <xdr:rowOff>0</xdr:rowOff>
    </xdr:to>
    <xdr:sp macro="" textlink="">
      <xdr:nvSpPr>
        <xdr:cNvPr id="23" name="CaixaDeTexto 22">
          <a:extLst>
            <a:ext uri="{FF2B5EF4-FFF2-40B4-BE49-F238E27FC236}">
              <a16:creationId xmlns:a16="http://schemas.microsoft.com/office/drawing/2014/main" id="{A5A0E942-76E0-43DD-B154-C0A3901F0749}"/>
            </a:ext>
          </a:extLst>
        </xdr:cNvPr>
        <xdr:cNvSpPr txBox="1"/>
      </xdr:nvSpPr>
      <xdr:spPr>
        <a:xfrm>
          <a:off x="5817243" y="383261"/>
          <a:ext cx="4058278" cy="3482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>
              <a:solidFill>
                <a:schemeClr val="bg1"/>
              </a:solidFill>
            </a:rPr>
            <a:t>Período analisado: Janeiro a Dezembro de 2025</a:t>
          </a:r>
          <a:endParaRPr lang="pt-BR" sz="1600" b="1">
            <a:solidFill>
              <a:schemeClr val="bg1"/>
            </a:solidFill>
          </a:endParaRPr>
        </a:p>
      </xdr:txBody>
    </xdr:sp>
    <xdr:clientData/>
  </xdr:twoCellAnchor>
  <xdr:twoCellAnchor>
    <xdr:from>
      <xdr:col>5</xdr:col>
      <xdr:colOff>562147</xdr:colOff>
      <xdr:row>10</xdr:row>
      <xdr:rowOff>41412</xdr:rowOff>
    </xdr:from>
    <xdr:to>
      <xdr:col>10</xdr:col>
      <xdr:colOff>600362</xdr:colOff>
      <xdr:row>12</xdr:row>
      <xdr:rowOff>60005</xdr:rowOff>
    </xdr:to>
    <xdr:sp macro="" textlink="">
      <xdr:nvSpPr>
        <xdr:cNvPr id="24" name="CaixaDeTexto 23">
          <a:extLst>
            <a:ext uri="{FF2B5EF4-FFF2-40B4-BE49-F238E27FC236}">
              <a16:creationId xmlns:a16="http://schemas.microsoft.com/office/drawing/2014/main" id="{57327A7C-D4C5-4433-8A00-C1AC2F880F07}"/>
            </a:ext>
          </a:extLst>
        </xdr:cNvPr>
        <xdr:cNvSpPr txBox="1"/>
      </xdr:nvSpPr>
      <xdr:spPr>
        <a:xfrm>
          <a:off x="3621692" y="1888685"/>
          <a:ext cx="3097761" cy="3880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</a:rPr>
            <a:t>Pareto dos Principais Defeitos</a:t>
          </a:r>
        </a:p>
      </xdr:txBody>
    </xdr:sp>
    <xdr:clientData/>
  </xdr:twoCellAnchor>
  <xdr:twoCellAnchor>
    <xdr:from>
      <xdr:col>15</xdr:col>
      <xdr:colOff>90074</xdr:colOff>
      <xdr:row>10</xdr:row>
      <xdr:rowOff>70208</xdr:rowOff>
    </xdr:from>
    <xdr:to>
      <xdr:col>20</xdr:col>
      <xdr:colOff>507999</xdr:colOff>
      <xdr:row>12</xdr:row>
      <xdr:rowOff>88801</xdr:rowOff>
    </xdr:to>
    <xdr:sp macro="" textlink="">
      <xdr:nvSpPr>
        <xdr:cNvPr id="25" name="CaixaDeTexto 24">
          <a:extLst>
            <a:ext uri="{FF2B5EF4-FFF2-40B4-BE49-F238E27FC236}">
              <a16:creationId xmlns:a16="http://schemas.microsoft.com/office/drawing/2014/main" id="{583DC8EC-70BB-4099-A2E1-07C26ED77638}"/>
            </a:ext>
          </a:extLst>
        </xdr:cNvPr>
        <xdr:cNvSpPr txBox="1"/>
      </xdr:nvSpPr>
      <xdr:spPr>
        <a:xfrm>
          <a:off x="9268710" y="1917481"/>
          <a:ext cx="3477471" cy="3880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</a:rPr>
            <a:t>Distribuição das Ocorrências por Área</a:t>
          </a:r>
        </a:p>
      </xdr:txBody>
    </xdr:sp>
    <xdr:clientData/>
  </xdr:twoCellAnchor>
  <xdr:twoCellAnchor>
    <xdr:from>
      <xdr:col>4</xdr:col>
      <xdr:colOff>507409</xdr:colOff>
      <xdr:row>25</xdr:row>
      <xdr:rowOff>48475</xdr:rowOff>
    </xdr:from>
    <xdr:to>
      <xdr:col>10</xdr:col>
      <xdr:colOff>23089</xdr:colOff>
      <xdr:row>27</xdr:row>
      <xdr:rowOff>70154</xdr:rowOff>
    </xdr:to>
    <xdr:sp macro="" textlink="">
      <xdr:nvSpPr>
        <xdr:cNvPr id="26" name="CaixaDeTexto 25">
          <a:extLst>
            <a:ext uri="{FF2B5EF4-FFF2-40B4-BE49-F238E27FC236}">
              <a16:creationId xmlns:a16="http://schemas.microsoft.com/office/drawing/2014/main" id="{7C720156-2897-453C-8F27-F3DE5439D959}"/>
            </a:ext>
          </a:extLst>
        </xdr:cNvPr>
        <xdr:cNvSpPr txBox="1"/>
      </xdr:nvSpPr>
      <xdr:spPr>
        <a:xfrm>
          <a:off x="2955045" y="4666657"/>
          <a:ext cx="3187135" cy="3911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</a:rPr>
            <a:t>Evolução Mensal das Ocorrências</a:t>
          </a:r>
        </a:p>
      </xdr:txBody>
    </xdr:sp>
    <xdr:clientData/>
  </xdr:twoCellAnchor>
  <xdr:twoCellAnchor>
    <xdr:from>
      <xdr:col>0</xdr:col>
      <xdr:colOff>88337</xdr:colOff>
      <xdr:row>21</xdr:row>
      <xdr:rowOff>131181</xdr:rowOff>
    </xdr:from>
    <xdr:to>
      <xdr:col>3</xdr:col>
      <xdr:colOff>202517</xdr:colOff>
      <xdr:row>23</xdr:row>
      <xdr:rowOff>19876</xdr:rowOff>
    </xdr:to>
    <xdr:sp macro="" textlink="">
      <xdr:nvSpPr>
        <xdr:cNvPr id="27" name="CaixaDeTexto 26">
          <a:extLst>
            <a:ext uri="{FF2B5EF4-FFF2-40B4-BE49-F238E27FC236}">
              <a16:creationId xmlns:a16="http://schemas.microsoft.com/office/drawing/2014/main" id="{90568CA4-2DEC-43A8-A1C4-7A19A08BD9C5}"/>
            </a:ext>
          </a:extLst>
        </xdr:cNvPr>
        <xdr:cNvSpPr txBox="1"/>
      </xdr:nvSpPr>
      <xdr:spPr>
        <a:xfrm>
          <a:off x="88337" y="4017381"/>
          <a:ext cx="1942980" cy="2588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bg1"/>
              </a:solidFill>
            </a:rPr>
            <a:t>Problemas por Área</a:t>
          </a:r>
        </a:p>
      </xdr:txBody>
    </xdr:sp>
    <xdr:clientData/>
  </xdr:twoCellAnchor>
  <xdr:twoCellAnchor>
    <xdr:from>
      <xdr:col>0</xdr:col>
      <xdr:colOff>0</xdr:colOff>
      <xdr:row>10</xdr:row>
      <xdr:rowOff>52098</xdr:rowOff>
    </xdr:from>
    <xdr:to>
      <xdr:col>3</xdr:col>
      <xdr:colOff>179294</xdr:colOff>
      <xdr:row>13</xdr:row>
      <xdr:rowOff>151745</xdr:rowOff>
    </xdr:to>
    <xdr:sp macro="" textlink="">
      <xdr:nvSpPr>
        <xdr:cNvPr id="28" name="CaixaDeTexto 27">
          <a:extLst>
            <a:ext uri="{FF2B5EF4-FFF2-40B4-BE49-F238E27FC236}">
              <a16:creationId xmlns:a16="http://schemas.microsoft.com/office/drawing/2014/main" id="{4DA8BEC2-2639-4924-86FC-236FCB93CB48}"/>
            </a:ext>
          </a:extLst>
        </xdr:cNvPr>
        <xdr:cNvSpPr txBox="1"/>
      </xdr:nvSpPr>
      <xdr:spPr>
        <a:xfrm>
          <a:off x="0" y="1845039"/>
          <a:ext cx="1994647" cy="6375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600" b="1">
              <a:solidFill>
                <a:schemeClr val="bg1"/>
              </a:solidFill>
            </a:rPr>
            <a:t>Problemas por</a:t>
          </a:r>
          <a:r>
            <a:rPr lang="pt-BR" sz="1600" b="1" baseline="0">
              <a:solidFill>
                <a:schemeClr val="bg1"/>
              </a:solidFill>
            </a:rPr>
            <a:t> Trimestre</a:t>
          </a:r>
          <a:endParaRPr lang="pt-BR" sz="16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0</xdr:col>
      <xdr:colOff>323865</xdr:colOff>
      <xdr:row>0</xdr:row>
      <xdr:rowOff>105887</xdr:rowOff>
    </xdr:from>
    <xdr:to>
      <xdr:col>2</xdr:col>
      <xdr:colOff>520681</xdr:colOff>
      <xdr:row>8</xdr:row>
      <xdr:rowOff>58863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AB6512-9D0D-ABB1-B34E-4445A182ED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23865" y="105887"/>
          <a:ext cx="1416016" cy="1416016"/>
        </a:xfrm>
        <a:prstGeom prst="flowChartConnector">
          <a:avLst/>
        </a:prstGeom>
      </xdr:spPr>
    </xdr:pic>
    <xdr:clientData/>
  </xdr:twoCellAnchor>
  <xdr:twoCellAnchor>
    <xdr:from>
      <xdr:col>11</xdr:col>
      <xdr:colOff>413657</xdr:colOff>
      <xdr:row>25</xdr:row>
      <xdr:rowOff>167640</xdr:rowOff>
    </xdr:from>
    <xdr:to>
      <xdr:col>22</xdr:col>
      <xdr:colOff>163286</xdr:colOff>
      <xdr:row>41</xdr:row>
      <xdr:rowOff>15240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7D36884E-4B39-1927-957C-60483E3F8D57}"/>
            </a:ext>
          </a:extLst>
        </xdr:cNvPr>
        <xdr:cNvSpPr/>
      </xdr:nvSpPr>
      <xdr:spPr>
        <a:xfrm>
          <a:off x="7119257" y="4794069"/>
          <a:ext cx="6455229" cy="2808514"/>
        </a:xfrm>
        <a:prstGeom prst="roundRect">
          <a:avLst>
            <a:gd name="adj" fmla="val 9690"/>
          </a:avLst>
        </a:prstGeom>
        <a:solidFill>
          <a:schemeClr val="tx1">
            <a:lumMod val="75000"/>
            <a:lumOff val="2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pt-BR" sz="1600" b="1"/>
            <a:t>Objetivo</a:t>
          </a:r>
          <a:endParaRPr lang="pt-BR" sz="1600"/>
        </a:p>
        <a:p>
          <a:r>
            <a:rPr lang="pt-BR" sz="1200"/>
            <a:t>Analisar os indicadores de qualidade da produção automotiva durante o ano de 2025, identificar os principais defeitos, investigar suas causas e propor ações para melhoria contínua.</a:t>
          </a:r>
        </a:p>
        <a:p>
          <a:endParaRPr lang="pt-BR"/>
        </a:p>
        <a:p>
          <a:endParaRPr lang="pt-BR"/>
        </a:p>
        <a:p>
          <a:pPr algn="l"/>
          <a:endParaRPr lang="pt-BR" sz="1100"/>
        </a:p>
      </xdr:txBody>
    </xdr:sp>
    <xdr:clientData/>
  </xdr:twoCellAnchor>
  <xdr:twoCellAnchor>
    <xdr:from>
      <xdr:col>15</xdr:col>
      <xdr:colOff>83820</xdr:colOff>
      <xdr:row>30</xdr:row>
      <xdr:rowOff>83820</xdr:rowOff>
    </xdr:from>
    <xdr:to>
      <xdr:col>15</xdr:col>
      <xdr:colOff>91440</xdr:colOff>
      <xdr:row>38</xdr:row>
      <xdr:rowOff>15240</xdr:rowOff>
    </xdr:to>
    <xdr:cxnSp macro="">
      <xdr:nvCxnSpPr>
        <xdr:cNvPr id="5" name="Conector reto 4">
          <a:extLst>
            <a:ext uri="{FF2B5EF4-FFF2-40B4-BE49-F238E27FC236}">
              <a16:creationId xmlns:a16="http://schemas.microsoft.com/office/drawing/2014/main" id="{F8D042F5-99EC-13AB-DAE2-A2A5452A0374}"/>
            </a:ext>
          </a:extLst>
        </xdr:cNvPr>
        <xdr:cNvCxnSpPr/>
      </xdr:nvCxnSpPr>
      <xdr:spPr>
        <a:xfrm>
          <a:off x="9227820" y="5570220"/>
          <a:ext cx="7620" cy="1394460"/>
        </a:xfrm>
        <a:prstGeom prst="line">
          <a:avLst/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182880</xdr:colOff>
      <xdr:row>30</xdr:row>
      <xdr:rowOff>64770</xdr:rowOff>
    </xdr:from>
    <xdr:to>
      <xdr:col>22</xdr:col>
      <xdr:colOff>91440</xdr:colOff>
      <xdr:row>40</xdr:row>
      <xdr:rowOff>34290</xdr:rowOff>
    </xdr:to>
    <xdr:sp macro="" textlink="">
      <xdr:nvSpPr>
        <xdr:cNvPr id="18" name="CaixaDeTexto 17">
          <a:extLst>
            <a:ext uri="{FF2B5EF4-FFF2-40B4-BE49-F238E27FC236}">
              <a16:creationId xmlns:a16="http://schemas.microsoft.com/office/drawing/2014/main" id="{D24B9EEB-C4AD-BFB5-414C-D0A1D7A761BA}"/>
            </a:ext>
          </a:extLst>
        </xdr:cNvPr>
        <xdr:cNvSpPr txBox="1"/>
      </xdr:nvSpPr>
      <xdr:spPr>
        <a:xfrm>
          <a:off x="9326880" y="5551170"/>
          <a:ext cx="4175760" cy="1798320"/>
        </a:xfrm>
        <a:prstGeom prst="rect">
          <a:avLst/>
        </a:prstGeom>
        <a:solidFill>
          <a:schemeClr val="tx1">
            <a:lumMod val="75000"/>
            <a:lumOff val="2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t-BR" b="1">
              <a:solidFill>
                <a:schemeClr val="bg1"/>
              </a:solidFill>
            </a:rPr>
            <a:t>Resumo Executivo</a:t>
          </a:r>
          <a:endParaRPr lang="pt-BR">
            <a:solidFill>
              <a:schemeClr val="bg1"/>
            </a:solidFill>
          </a:endParaRPr>
        </a:p>
        <a:p>
          <a:pPr algn="l"/>
          <a:r>
            <a:rPr lang="pt-BR">
              <a:solidFill>
                <a:schemeClr val="bg1"/>
              </a:solidFill>
            </a:rPr>
            <a:t>• Foram registradas </a:t>
          </a:r>
          <a:r>
            <a:rPr lang="pt-BR" b="1">
              <a:solidFill>
                <a:schemeClr val="bg1"/>
              </a:solidFill>
            </a:rPr>
            <a:t>1.406 ocorrências</a:t>
          </a:r>
          <a:r>
            <a:rPr lang="pt-BR">
              <a:solidFill>
                <a:schemeClr val="bg1"/>
              </a:solidFill>
            </a:rPr>
            <a:t> em 2025.</a:t>
          </a:r>
        </a:p>
        <a:p>
          <a:pPr algn="l"/>
          <a:r>
            <a:rPr lang="pt-BR">
              <a:solidFill>
                <a:schemeClr val="bg1"/>
              </a:solidFill>
            </a:rPr>
            <a:t>• </a:t>
          </a:r>
          <a:r>
            <a:rPr lang="pt-BR" b="1">
              <a:solidFill>
                <a:schemeClr val="bg1"/>
              </a:solidFill>
            </a:rPr>
            <a:t>Montagem</a:t>
          </a:r>
          <a:r>
            <a:rPr lang="pt-BR">
              <a:solidFill>
                <a:schemeClr val="bg1"/>
              </a:solidFill>
            </a:rPr>
            <a:t> concentrou o maior número de falhas.</a:t>
          </a:r>
        </a:p>
        <a:p>
          <a:pPr algn="l"/>
          <a:r>
            <a:rPr lang="pt-BR">
              <a:solidFill>
                <a:schemeClr val="bg1"/>
              </a:solidFill>
            </a:rPr>
            <a:t>• Os três principais problemas representam aproximadamente </a:t>
          </a:r>
          <a:r>
            <a:rPr lang="pt-BR" b="1">
              <a:solidFill>
                <a:schemeClr val="bg1"/>
              </a:solidFill>
            </a:rPr>
            <a:t>56% das ocorrências</a:t>
          </a:r>
          <a:r>
            <a:rPr lang="pt-BR">
              <a:solidFill>
                <a:schemeClr val="bg1"/>
              </a:solidFill>
            </a:rPr>
            <a:t>.</a:t>
          </a:r>
        </a:p>
        <a:p>
          <a:pPr algn="l"/>
          <a:r>
            <a:rPr lang="pt-BR">
              <a:solidFill>
                <a:schemeClr val="bg1"/>
              </a:solidFill>
            </a:rPr>
            <a:t>• A relação entre defeitos e pós-venda apresentou </a:t>
          </a:r>
          <a:r>
            <a:rPr lang="pt-BR" b="1">
              <a:solidFill>
                <a:schemeClr val="bg1"/>
              </a:solidFill>
            </a:rPr>
            <a:t>correlação positiva</a:t>
          </a:r>
          <a:r>
            <a:rPr lang="pt-BR">
              <a:solidFill>
                <a:schemeClr val="bg1"/>
              </a:solidFill>
            </a:rPr>
            <a:t>, indicando impacto direto na satisfação do cliente.</a:t>
          </a:r>
        </a:p>
        <a:p>
          <a:pPr algn="l"/>
          <a:endParaRPr lang="pt-BR" sz="1100"/>
        </a:p>
      </xdr:txBody>
    </xdr:sp>
    <xdr:clientData/>
  </xdr:twoCellAnchor>
  <xdr:twoCellAnchor>
    <xdr:from>
      <xdr:col>11</xdr:col>
      <xdr:colOff>480060</xdr:colOff>
      <xdr:row>30</xdr:row>
      <xdr:rowOff>66675</xdr:rowOff>
    </xdr:from>
    <xdr:to>
      <xdr:col>15</xdr:col>
      <xdr:colOff>106680</xdr:colOff>
      <xdr:row>40</xdr:row>
      <xdr:rowOff>33339</xdr:rowOff>
    </xdr:to>
    <xdr:sp macro="" textlink="">
      <xdr:nvSpPr>
        <xdr:cNvPr id="29" name="CaixaDeTexto 28">
          <a:extLst>
            <a:ext uri="{FF2B5EF4-FFF2-40B4-BE49-F238E27FC236}">
              <a16:creationId xmlns:a16="http://schemas.microsoft.com/office/drawing/2014/main" id="{2C8C7501-021D-11A6-A4E0-40F62DF93599}"/>
            </a:ext>
          </a:extLst>
        </xdr:cNvPr>
        <xdr:cNvSpPr txBox="1"/>
      </xdr:nvSpPr>
      <xdr:spPr>
        <a:xfrm>
          <a:off x="7185660" y="5495925"/>
          <a:ext cx="2065020" cy="1776414"/>
        </a:xfrm>
        <a:prstGeom prst="rect">
          <a:avLst/>
        </a:prstGeom>
        <a:solidFill>
          <a:schemeClr val="tx1">
            <a:lumMod val="75000"/>
            <a:lumOff val="2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📊 Base Analisada: </a:t>
          </a:r>
          <a:r>
            <a:rPr lang="pt-BR" sz="1100" b="1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550 registros</a:t>
          </a:r>
          <a:endParaRPr lang="pt-BR">
            <a:solidFill>
              <a:schemeClr val="bg1"/>
            </a:solidFill>
            <a:effectLst/>
          </a:endParaRPr>
        </a:p>
        <a:p>
          <a:r>
            <a:rPr lang="pt-BR" sz="11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🚗 Modelos: </a:t>
          </a:r>
          <a:r>
            <a:rPr lang="pt-BR" sz="1100" b="1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5</a:t>
          </a:r>
          <a:endParaRPr lang="pt-BR">
            <a:solidFill>
              <a:schemeClr val="bg1"/>
            </a:solidFill>
            <a:effectLst/>
          </a:endParaRPr>
        </a:p>
        <a:p>
          <a:r>
            <a:rPr lang="pt-BR" sz="11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🏭 Áreas Produtivas: </a:t>
          </a:r>
          <a:r>
            <a:rPr lang="pt-BR" sz="1100" b="1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9</a:t>
          </a:r>
          <a:endParaRPr lang="pt-BR">
            <a:solidFill>
              <a:schemeClr val="bg1"/>
            </a:solidFill>
            <a:effectLst/>
          </a:endParaRPr>
        </a:p>
        <a:p>
          <a:r>
            <a:rPr lang="pt-BR" sz="11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⚠️Categorias de Defeitos: </a:t>
          </a:r>
          <a:r>
            <a:rPr lang="pt-BR" sz="1100" b="1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14</a:t>
          </a:r>
          <a:endParaRPr lang="pt-BR">
            <a:solidFill>
              <a:schemeClr val="bg1"/>
            </a:solidFill>
            <a:effectLst/>
          </a:endParaRPr>
        </a:p>
        <a:p>
          <a:r>
            <a:rPr lang="pt-BR" sz="11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📅 Período: </a:t>
          </a:r>
          <a:r>
            <a:rPr lang="pt-BR" sz="1100" b="1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Jan–Dez/2025</a:t>
          </a:r>
          <a:endParaRPr lang="pt-BR">
            <a:solidFill>
              <a:schemeClr val="bg1"/>
            </a:solidFill>
            <a:effectLst/>
          </a:endParaRPr>
        </a:p>
        <a:p>
          <a:endParaRPr lang="pt-BR" sz="1100"/>
        </a:p>
      </xdr:txBody>
    </xdr:sp>
    <xdr:clientData/>
  </xdr:twoCellAnchor>
  <xdr:twoCellAnchor>
    <xdr:from>
      <xdr:col>19</xdr:col>
      <xdr:colOff>339098</xdr:colOff>
      <xdr:row>4</xdr:row>
      <xdr:rowOff>109565</xdr:rowOff>
    </xdr:from>
    <xdr:to>
      <xdr:col>22</xdr:col>
      <xdr:colOff>307737</xdr:colOff>
      <xdr:row>9</xdr:row>
      <xdr:rowOff>58414</xdr:rowOff>
    </xdr:to>
    <xdr:sp macro="" textlink="">
      <xdr:nvSpPr>
        <xdr:cNvPr id="30" name="Retângulo: Cantos Arredondados 29">
          <a:extLst>
            <a:ext uri="{FF2B5EF4-FFF2-40B4-BE49-F238E27FC236}">
              <a16:creationId xmlns:a16="http://schemas.microsoft.com/office/drawing/2014/main" id="{B8BCD982-953C-46D4-A41D-0B24E1A03FDF}"/>
            </a:ext>
          </a:extLst>
        </xdr:cNvPr>
        <xdr:cNvSpPr/>
      </xdr:nvSpPr>
      <xdr:spPr>
        <a:xfrm>
          <a:off x="11921498" y="849794"/>
          <a:ext cx="1797439" cy="874134"/>
        </a:xfrm>
        <a:prstGeom prst="roundRect">
          <a:avLst>
            <a:gd name="adj" fmla="val 0"/>
          </a:avLst>
        </a:prstGeom>
        <a:solidFill>
          <a:schemeClr val="tx1">
            <a:lumMod val="75000"/>
            <a:lumOff val="2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3,99%</a:t>
          </a:r>
          <a:r>
            <a:rPr lang="pt-BR" sz="1400"/>
            <a:t> </a:t>
          </a:r>
          <a:endParaRPr lang="en-US" sz="1400" b="0" i="0" u="none" strike="noStrike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19</xdr:col>
      <xdr:colOff>422525</xdr:colOff>
      <xdr:row>4</xdr:row>
      <xdr:rowOff>25332</xdr:rowOff>
    </xdr:from>
    <xdr:to>
      <xdr:col>22</xdr:col>
      <xdr:colOff>294573</xdr:colOff>
      <xdr:row>6</xdr:row>
      <xdr:rowOff>40699</xdr:rowOff>
    </xdr:to>
    <xdr:sp macro="" textlink="">
      <xdr:nvSpPr>
        <xdr:cNvPr id="31" name="CaixaDeTexto 30">
          <a:extLst>
            <a:ext uri="{FF2B5EF4-FFF2-40B4-BE49-F238E27FC236}">
              <a16:creationId xmlns:a16="http://schemas.microsoft.com/office/drawing/2014/main" id="{4A2B5A04-A2C0-40D1-8A95-873B3ABBBB5E}"/>
            </a:ext>
          </a:extLst>
        </xdr:cNvPr>
        <xdr:cNvSpPr txBox="1"/>
      </xdr:nvSpPr>
      <xdr:spPr>
        <a:xfrm>
          <a:off x="12004925" y="765561"/>
          <a:ext cx="1700848" cy="38548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TAXA DE DEFEITOS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22</xdr:col>
      <xdr:colOff>366727</xdr:colOff>
      <xdr:row>44</xdr:row>
      <xdr:rowOff>176276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932CFE86-51A6-4204-B40B-BCD1725C84D7}"/>
            </a:ext>
          </a:extLst>
        </xdr:cNvPr>
        <xdr:cNvSpPr/>
      </xdr:nvSpPr>
      <xdr:spPr>
        <a:xfrm>
          <a:off x="0" y="0"/>
          <a:ext cx="13777927" cy="8318790"/>
        </a:xfrm>
        <a:prstGeom prst="roundRect">
          <a:avLst>
            <a:gd name="adj" fmla="val 928"/>
          </a:avLst>
        </a:prstGeom>
        <a:gradFill flip="none" rotWithShape="1">
          <a:gsLst>
            <a:gs pos="21000">
              <a:srgbClr val="1E1E28"/>
            </a:gs>
            <a:gs pos="73000">
              <a:srgbClr val="1C1E1C"/>
            </a:gs>
          </a:gsLst>
          <a:path path="circle">
            <a:fillToRect t="100000" r="100000"/>
          </a:path>
          <a:tileRect l="-100000" b="-100000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210536</xdr:colOff>
      <xdr:row>44</xdr:row>
      <xdr:rowOff>152446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B667D219-FA66-44F0-97ED-932B9FA6F2C7}"/>
            </a:ext>
          </a:extLst>
        </xdr:cNvPr>
        <xdr:cNvSpPr/>
      </xdr:nvSpPr>
      <xdr:spPr>
        <a:xfrm>
          <a:off x="0" y="0"/>
          <a:ext cx="2039336" cy="8199166"/>
        </a:xfrm>
        <a:prstGeom prst="roundRect">
          <a:avLst>
            <a:gd name="adj" fmla="val 3556"/>
          </a:avLst>
        </a:prstGeom>
        <a:solidFill>
          <a:srgbClr val="362E2E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309596</xdr:colOff>
      <xdr:row>0</xdr:row>
      <xdr:rowOff>97974</xdr:rowOff>
    </xdr:from>
    <xdr:to>
      <xdr:col>16</xdr:col>
      <xdr:colOff>100674</xdr:colOff>
      <xdr:row>2</xdr:row>
      <xdr:rowOff>70313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A29E51AF-318F-461A-87F8-C412286C7A99}"/>
            </a:ext>
          </a:extLst>
        </xdr:cNvPr>
        <xdr:cNvSpPr txBox="1"/>
      </xdr:nvSpPr>
      <xdr:spPr>
        <a:xfrm>
          <a:off x="5795996" y="97974"/>
          <a:ext cx="4058278" cy="3424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800">
              <a:solidFill>
                <a:schemeClr val="bg1"/>
              </a:solidFill>
            </a:rPr>
            <a:t>DISPERSÃO</a:t>
          </a:r>
          <a:endParaRPr lang="pt-BR" sz="2800" b="1"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548640</xdr:colOff>
      <xdr:row>10</xdr:row>
      <xdr:rowOff>90352</xdr:rowOff>
    </xdr:from>
    <xdr:to>
      <xdr:col>12</xdr:col>
      <xdr:colOff>209427</xdr:colOff>
      <xdr:row>24</xdr:row>
      <xdr:rowOff>174909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771AE06-FFBD-437E-B95B-FDFCEFD0F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457201</xdr:colOff>
      <xdr:row>10</xdr:row>
      <xdr:rowOff>119743</xdr:rowOff>
    </xdr:from>
    <xdr:to>
      <xdr:col>21</xdr:col>
      <xdr:colOff>76201</xdr:colOff>
      <xdr:row>25</xdr:row>
      <xdr:rowOff>10885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AB5C74E-2188-4EBC-B43C-35AC0BBD49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60960</xdr:colOff>
      <xdr:row>3</xdr:row>
      <xdr:rowOff>68580</xdr:rowOff>
    </xdr:from>
    <xdr:to>
      <xdr:col>7</xdr:col>
      <xdr:colOff>38100</xdr:colOff>
      <xdr:row>7</xdr:row>
      <xdr:rowOff>167640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8CEA4FEA-6E81-DA50-8679-D3E705511804}"/>
            </a:ext>
          </a:extLst>
        </xdr:cNvPr>
        <xdr:cNvSpPr/>
      </xdr:nvSpPr>
      <xdr:spPr>
        <a:xfrm>
          <a:off x="670560" y="617220"/>
          <a:ext cx="3634740" cy="830580"/>
        </a:xfrm>
        <a:prstGeom prst="roundRect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b="1">
              <a:solidFill>
                <a:schemeClr val="tx1"/>
              </a:solidFill>
            </a:rPr>
            <a:t>Torque fora da especificação concentrou aproximadamente 31% das ocorrências, sendo a principal prioridade para ações corretivas.</a:t>
          </a:r>
        </a:p>
        <a:p>
          <a:pPr algn="l"/>
          <a:endParaRPr lang="pt-BR" sz="1100"/>
        </a:p>
      </xdr:txBody>
    </xdr:sp>
    <xdr:clientData/>
  </xdr:twoCellAnchor>
  <xdr:twoCellAnchor>
    <xdr:from>
      <xdr:col>1</xdr:col>
      <xdr:colOff>60960</xdr:colOff>
      <xdr:row>8</xdr:row>
      <xdr:rowOff>137160</xdr:rowOff>
    </xdr:from>
    <xdr:to>
      <xdr:col>7</xdr:col>
      <xdr:colOff>38100</xdr:colOff>
      <xdr:row>13</xdr:row>
      <xdr:rowOff>53340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C39987B7-2DD0-4E3E-9719-8FDF555B55D9}"/>
            </a:ext>
          </a:extLst>
        </xdr:cNvPr>
        <xdr:cNvSpPr/>
      </xdr:nvSpPr>
      <xdr:spPr>
        <a:xfrm>
          <a:off x="670560" y="1600200"/>
          <a:ext cx="3634740" cy="830580"/>
        </a:xfrm>
        <a:prstGeom prst="roundRect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b="1">
              <a:solidFill>
                <a:sysClr val="windowText" lastClr="000000"/>
              </a:solidFill>
            </a:rPr>
            <a:t>A área de Montagem registrou o maior número de ocorrências, indicando necessidade de revisão dos processos e controles operacionais.</a:t>
          </a:r>
          <a:endParaRPr lang="pt-BR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60960</xdr:colOff>
      <xdr:row>14</xdr:row>
      <xdr:rowOff>22860</xdr:rowOff>
    </xdr:from>
    <xdr:to>
      <xdr:col>7</xdr:col>
      <xdr:colOff>38100</xdr:colOff>
      <xdr:row>18</xdr:row>
      <xdr:rowOff>121920</xdr:rowOff>
    </xdr:to>
    <xdr:sp macro="" textlink="">
      <xdr:nvSpPr>
        <xdr:cNvPr id="4" name="Retângulo: Cantos Arredondados 3">
          <a:extLst>
            <a:ext uri="{FF2B5EF4-FFF2-40B4-BE49-F238E27FC236}">
              <a16:creationId xmlns:a16="http://schemas.microsoft.com/office/drawing/2014/main" id="{B566FE50-D9AA-4E16-AC03-601A7BBE4213}"/>
            </a:ext>
          </a:extLst>
        </xdr:cNvPr>
        <xdr:cNvSpPr/>
      </xdr:nvSpPr>
      <xdr:spPr>
        <a:xfrm>
          <a:off x="670560" y="2583180"/>
          <a:ext cx="3634740" cy="830580"/>
        </a:xfrm>
        <a:prstGeom prst="roundRect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b="1">
              <a:solidFill>
                <a:sysClr val="windowText" lastClr="000000"/>
              </a:solidFill>
            </a:rPr>
            <a:t>A análise de dispersão demonstrou correlação positiva, indicando que períodos de maior produção tendem a apresentar aumento no número de defeitos.</a:t>
          </a:r>
          <a:endParaRPr lang="pt-BR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60960</xdr:colOff>
      <xdr:row>19</xdr:row>
      <xdr:rowOff>91440</xdr:rowOff>
    </xdr:from>
    <xdr:to>
      <xdr:col>7</xdr:col>
      <xdr:colOff>38100</xdr:colOff>
      <xdr:row>24</xdr:row>
      <xdr:rowOff>7620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30709168-26EC-4C9B-A564-23A2F76AA765}"/>
            </a:ext>
          </a:extLst>
        </xdr:cNvPr>
        <xdr:cNvSpPr/>
      </xdr:nvSpPr>
      <xdr:spPr>
        <a:xfrm>
          <a:off x="670560" y="3566160"/>
          <a:ext cx="3634740" cy="830580"/>
        </a:xfrm>
        <a:prstGeom prst="roundRect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b="1">
              <a:solidFill>
                <a:sysClr val="windowText" lastClr="000000"/>
              </a:solidFill>
            </a:rPr>
            <a:t>Foi observada uma</a:t>
          </a:r>
          <a:r>
            <a:rPr lang="pt-BR" b="1" baseline="0">
              <a:solidFill>
                <a:sysClr val="windowText" lastClr="000000"/>
              </a:solidFill>
            </a:rPr>
            <a:t> </a:t>
          </a:r>
          <a:r>
            <a:rPr lang="pt-BR" b="1">
              <a:solidFill>
                <a:sysClr val="windowText" lastClr="000000"/>
              </a:solidFill>
            </a:rPr>
            <a:t>correlação positiva entre defeitos e ocorrências de pós-venda, sugerindo que melhorias na linha de produção podem reduzir os custos com garantia.</a:t>
          </a:r>
          <a:endParaRPr lang="pt-BR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0</xdr:col>
      <xdr:colOff>213360</xdr:colOff>
      <xdr:row>9</xdr:row>
      <xdr:rowOff>3810</xdr:rowOff>
    </xdr:from>
    <xdr:to>
      <xdr:col>1</xdr:col>
      <xdr:colOff>15240</xdr:colOff>
      <xdr:row>17</xdr:row>
      <xdr:rowOff>156210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73601DCA-9D9E-9A1B-FC67-391F0F261DE9}"/>
            </a:ext>
          </a:extLst>
        </xdr:cNvPr>
        <xdr:cNvSpPr txBox="1"/>
      </xdr:nvSpPr>
      <xdr:spPr>
        <a:xfrm rot="16200000">
          <a:off x="-388620" y="2251710"/>
          <a:ext cx="1615440" cy="41148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800">
              <a:solidFill>
                <a:schemeClr val="bg1"/>
              </a:solidFill>
            </a:rPr>
            <a:t>INSIGHTS</a:t>
          </a:r>
        </a:p>
      </xdr:txBody>
    </xdr:sp>
    <xdr:clientData/>
  </xdr:twoCellAnchor>
  <xdr:twoCellAnchor>
    <xdr:from>
      <xdr:col>7</xdr:col>
      <xdr:colOff>160020</xdr:colOff>
      <xdr:row>3</xdr:row>
      <xdr:rowOff>68580</xdr:rowOff>
    </xdr:from>
    <xdr:to>
      <xdr:col>13</xdr:col>
      <xdr:colOff>137160</xdr:colOff>
      <xdr:row>8</xdr:row>
      <xdr:rowOff>22860</xdr:rowOff>
    </xdr:to>
    <xdr:sp macro="" textlink="">
      <xdr:nvSpPr>
        <xdr:cNvPr id="7" name="Retângulo: Cantos Arredondados 6">
          <a:extLst>
            <a:ext uri="{FF2B5EF4-FFF2-40B4-BE49-F238E27FC236}">
              <a16:creationId xmlns:a16="http://schemas.microsoft.com/office/drawing/2014/main" id="{A3E08E56-6AD4-D026-42D0-B1EB5CE5FB89}"/>
            </a:ext>
          </a:extLst>
        </xdr:cNvPr>
        <xdr:cNvSpPr/>
      </xdr:nvSpPr>
      <xdr:spPr>
        <a:xfrm>
          <a:off x="4427220" y="617220"/>
          <a:ext cx="3634740" cy="868680"/>
        </a:xfrm>
        <a:prstGeom prst="roundRect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pt-BR" b="1">
              <a:solidFill>
                <a:schemeClr val="tx1"/>
              </a:solidFill>
            </a:rPr>
            <a:t>Os três principais problemas representam uma parcela significativa nas ocorrências totais.</a:t>
          </a:r>
          <a:r>
            <a:rPr lang="pt-BR" b="1" baseline="0">
              <a:solidFill>
                <a:schemeClr val="tx1"/>
              </a:solidFill>
            </a:rPr>
            <a:t> A</a:t>
          </a:r>
          <a:r>
            <a:rPr lang="pt-BR" b="1">
              <a:solidFill>
                <a:schemeClr val="tx1"/>
              </a:solidFill>
            </a:rPr>
            <a:t>ções direcionadas</a:t>
          </a:r>
          <a:r>
            <a:rPr lang="pt-BR" b="1" baseline="0">
              <a:solidFill>
                <a:schemeClr val="tx1"/>
              </a:solidFill>
            </a:rPr>
            <a:t> aos</a:t>
          </a:r>
          <a:r>
            <a:rPr lang="pt-BR" b="1">
              <a:solidFill>
                <a:schemeClr val="tx1"/>
              </a:solidFill>
            </a:rPr>
            <a:t> processos podem gerar maior impacto na redução de defeitos.</a:t>
          </a:r>
        </a:p>
        <a:p>
          <a:pPr algn="l"/>
          <a:endParaRPr lang="pt-BR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0</xdr:row>
      <xdr:rowOff>0</xdr:rowOff>
    </xdr:from>
    <xdr:to>
      <xdr:col>22</xdr:col>
      <xdr:colOff>389587</xdr:colOff>
      <xdr:row>77</xdr:row>
      <xdr:rowOff>106680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A04383C5-C64C-462A-8695-422DFD4BE777}"/>
            </a:ext>
          </a:extLst>
        </xdr:cNvPr>
        <xdr:cNvSpPr/>
      </xdr:nvSpPr>
      <xdr:spPr>
        <a:xfrm>
          <a:off x="22860" y="0"/>
          <a:ext cx="13777927" cy="14188440"/>
        </a:xfrm>
        <a:prstGeom prst="roundRect">
          <a:avLst>
            <a:gd name="adj" fmla="val 928"/>
          </a:avLst>
        </a:prstGeom>
        <a:gradFill flip="none" rotWithShape="1">
          <a:gsLst>
            <a:gs pos="21000">
              <a:srgbClr val="1E1E28"/>
            </a:gs>
            <a:gs pos="73000">
              <a:srgbClr val="1C1E1C"/>
            </a:gs>
          </a:gsLst>
          <a:path path="circle">
            <a:fillToRect t="100000" r="100000"/>
          </a:path>
          <a:tileRect l="-100000" b="-100000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411480</xdr:colOff>
      <xdr:row>0</xdr:row>
      <xdr:rowOff>167640</xdr:rowOff>
    </xdr:from>
    <xdr:to>
      <xdr:col>11</xdr:col>
      <xdr:colOff>7620</xdr:colOff>
      <xdr:row>2</xdr:row>
      <xdr:rowOff>121920</xdr:rowOff>
    </xdr:to>
    <xdr:sp macro="" textlink="">
      <xdr:nvSpPr>
        <xdr:cNvPr id="3" name="Fluxograma: Terminação 2">
          <a:extLst>
            <a:ext uri="{FF2B5EF4-FFF2-40B4-BE49-F238E27FC236}">
              <a16:creationId xmlns:a16="http://schemas.microsoft.com/office/drawing/2014/main" id="{5EE80A6B-5909-28F5-C18E-C6217A20F071}"/>
            </a:ext>
          </a:extLst>
        </xdr:cNvPr>
        <xdr:cNvSpPr/>
      </xdr:nvSpPr>
      <xdr:spPr>
        <a:xfrm>
          <a:off x="5897880" y="167640"/>
          <a:ext cx="815340" cy="320040"/>
        </a:xfrm>
        <a:prstGeom prst="flowChartTerminator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/>
            <a:t>INÍCIO</a:t>
          </a:r>
        </a:p>
      </xdr:txBody>
    </xdr:sp>
    <xdr:clientData/>
  </xdr:twoCellAnchor>
  <xdr:twoCellAnchor>
    <xdr:from>
      <xdr:col>10</xdr:col>
      <xdr:colOff>217170</xdr:colOff>
      <xdr:row>2</xdr:row>
      <xdr:rowOff>106680</xdr:rowOff>
    </xdr:from>
    <xdr:to>
      <xdr:col>10</xdr:col>
      <xdr:colOff>217170</xdr:colOff>
      <xdr:row>4</xdr:row>
      <xdr:rowOff>121920</xdr:rowOff>
    </xdr:to>
    <xdr:cxnSp macro="">
      <xdr:nvCxnSpPr>
        <xdr:cNvPr id="5" name="Conector de Seta Reta 4">
          <a:extLst>
            <a:ext uri="{FF2B5EF4-FFF2-40B4-BE49-F238E27FC236}">
              <a16:creationId xmlns:a16="http://schemas.microsoft.com/office/drawing/2014/main" id="{A7CB88D9-0FFD-E7AF-1784-78C40C8C5E46}"/>
            </a:ext>
          </a:extLst>
        </xdr:cNvPr>
        <xdr:cNvCxnSpPr>
          <a:endCxn id="7" idx="0"/>
        </xdr:cNvCxnSpPr>
      </xdr:nvCxnSpPr>
      <xdr:spPr>
        <a:xfrm>
          <a:off x="6313170" y="472440"/>
          <a:ext cx="0" cy="3810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9</xdr:col>
      <xdr:colOff>274320</xdr:colOff>
      <xdr:row>4</xdr:row>
      <xdr:rowOff>121920</xdr:rowOff>
    </xdr:from>
    <xdr:to>
      <xdr:col>11</xdr:col>
      <xdr:colOff>160020</xdr:colOff>
      <xdr:row>7</xdr:row>
      <xdr:rowOff>160020</xdr:rowOff>
    </xdr:to>
    <xdr:sp macro="" textlink="">
      <xdr:nvSpPr>
        <xdr:cNvPr id="7" name="Fluxograma: Processo 6">
          <a:extLst>
            <a:ext uri="{FF2B5EF4-FFF2-40B4-BE49-F238E27FC236}">
              <a16:creationId xmlns:a16="http://schemas.microsoft.com/office/drawing/2014/main" id="{5B6F0570-E216-4470-1BFF-D4BA6EE2461A}"/>
            </a:ext>
          </a:extLst>
        </xdr:cNvPr>
        <xdr:cNvSpPr/>
      </xdr:nvSpPr>
      <xdr:spPr>
        <a:xfrm>
          <a:off x="5760720" y="853440"/>
          <a:ext cx="1104900" cy="586740"/>
        </a:xfrm>
        <a:prstGeom prst="flowChartProcess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Recebimento do veículo na estação </a:t>
          </a:r>
          <a:endParaRPr lang="pt-BR" sz="1100"/>
        </a:p>
      </xdr:txBody>
    </xdr:sp>
    <xdr:clientData/>
  </xdr:twoCellAnchor>
  <xdr:twoCellAnchor>
    <xdr:from>
      <xdr:col>10</xdr:col>
      <xdr:colOff>217170</xdr:colOff>
      <xdr:row>7</xdr:row>
      <xdr:rowOff>144780</xdr:rowOff>
    </xdr:from>
    <xdr:to>
      <xdr:col>10</xdr:col>
      <xdr:colOff>224790</xdr:colOff>
      <xdr:row>10</xdr:row>
      <xdr:rowOff>7620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CE313F6C-78CE-F497-42D8-C9C02CE3747A}"/>
            </a:ext>
          </a:extLst>
        </xdr:cNvPr>
        <xdr:cNvCxnSpPr>
          <a:endCxn id="12" idx="0"/>
        </xdr:cNvCxnSpPr>
      </xdr:nvCxnSpPr>
      <xdr:spPr>
        <a:xfrm>
          <a:off x="6313170" y="1424940"/>
          <a:ext cx="7620" cy="4114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9</xdr:col>
      <xdr:colOff>281940</xdr:colOff>
      <xdr:row>10</xdr:row>
      <xdr:rowOff>7620</xdr:rowOff>
    </xdr:from>
    <xdr:to>
      <xdr:col>11</xdr:col>
      <xdr:colOff>167640</xdr:colOff>
      <xdr:row>13</xdr:row>
      <xdr:rowOff>45720</xdr:rowOff>
    </xdr:to>
    <xdr:sp macro="" textlink="">
      <xdr:nvSpPr>
        <xdr:cNvPr id="12" name="Fluxograma: Processo 11">
          <a:extLst>
            <a:ext uri="{FF2B5EF4-FFF2-40B4-BE49-F238E27FC236}">
              <a16:creationId xmlns:a16="http://schemas.microsoft.com/office/drawing/2014/main" id="{FD7896EC-2ADB-4078-AC91-6E746D6AB0B2}"/>
            </a:ext>
          </a:extLst>
        </xdr:cNvPr>
        <xdr:cNvSpPr/>
      </xdr:nvSpPr>
      <xdr:spPr>
        <a:xfrm>
          <a:off x="5768340" y="1836420"/>
          <a:ext cx="1104900" cy="586740"/>
        </a:xfrm>
        <a:prstGeom prst="flowChartProcess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Leitura do QRCode da operação </a:t>
          </a:r>
          <a:endParaRPr lang="pt-BR" sz="1100"/>
        </a:p>
      </xdr:txBody>
    </xdr:sp>
    <xdr:clientData/>
  </xdr:twoCellAnchor>
  <xdr:twoCellAnchor>
    <xdr:from>
      <xdr:col>10</xdr:col>
      <xdr:colOff>224790</xdr:colOff>
      <xdr:row>13</xdr:row>
      <xdr:rowOff>45720</xdr:rowOff>
    </xdr:from>
    <xdr:to>
      <xdr:col>10</xdr:col>
      <xdr:colOff>240030</xdr:colOff>
      <xdr:row>15</xdr:row>
      <xdr:rowOff>60960</xdr:rowOff>
    </xdr:to>
    <xdr:cxnSp macro="">
      <xdr:nvCxnSpPr>
        <xdr:cNvPr id="14" name="Conector de Seta Reta 13">
          <a:extLst>
            <a:ext uri="{FF2B5EF4-FFF2-40B4-BE49-F238E27FC236}">
              <a16:creationId xmlns:a16="http://schemas.microsoft.com/office/drawing/2014/main" id="{EDC462AA-7010-4C04-B8DF-3685B65F77CA}"/>
            </a:ext>
          </a:extLst>
        </xdr:cNvPr>
        <xdr:cNvCxnSpPr>
          <a:stCxn id="12" idx="2"/>
          <a:endCxn id="17" idx="0"/>
        </xdr:cNvCxnSpPr>
      </xdr:nvCxnSpPr>
      <xdr:spPr>
        <a:xfrm>
          <a:off x="6320790" y="2423160"/>
          <a:ext cx="15240" cy="3810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396240</xdr:colOff>
      <xdr:row>15</xdr:row>
      <xdr:rowOff>60960</xdr:rowOff>
    </xdr:from>
    <xdr:to>
      <xdr:col>12</xdr:col>
      <xdr:colOff>83820</xdr:colOff>
      <xdr:row>21</xdr:row>
      <xdr:rowOff>121920</xdr:rowOff>
    </xdr:to>
    <xdr:sp macro="" textlink="">
      <xdr:nvSpPr>
        <xdr:cNvPr id="17" name="Fluxograma: Decisão 16">
          <a:extLst>
            <a:ext uri="{FF2B5EF4-FFF2-40B4-BE49-F238E27FC236}">
              <a16:creationId xmlns:a16="http://schemas.microsoft.com/office/drawing/2014/main" id="{18D913FE-F089-10FD-3ADB-1EF0818FB123}"/>
            </a:ext>
          </a:extLst>
        </xdr:cNvPr>
        <xdr:cNvSpPr/>
      </xdr:nvSpPr>
      <xdr:spPr>
        <a:xfrm>
          <a:off x="5273040" y="2804160"/>
          <a:ext cx="2125980" cy="1158240"/>
        </a:xfrm>
        <a:prstGeom prst="flowChartDecision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000"/>
            <a:t>Sistema</a:t>
          </a:r>
          <a:r>
            <a:rPr lang="pt-BR" sz="1000" baseline="0"/>
            <a:t> </a:t>
          </a:r>
          <a:r>
            <a:rPr lang="pt-BR" sz="1000"/>
            <a:t>carregou o torque correto? </a:t>
          </a:r>
        </a:p>
      </xdr:txBody>
    </xdr:sp>
    <xdr:clientData/>
  </xdr:twoCellAnchor>
  <xdr:twoCellAnchor>
    <xdr:from>
      <xdr:col>12</xdr:col>
      <xdr:colOff>83820</xdr:colOff>
      <xdr:row>18</xdr:row>
      <xdr:rowOff>91440</xdr:rowOff>
    </xdr:from>
    <xdr:to>
      <xdr:col>12</xdr:col>
      <xdr:colOff>525780</xdr:colOff>
      <xdr:row>18</xdr:row>
      <xdr:rowOff>95250</xdr:rowOff>
    </xdr:to>
    <xdr:cxnSp macro="">
      <xdr:nvCxnSpPr>
        <xdr:cNvPr id="25" name="Conector de Seta Reta 24">
          <a:extLst>
            <a:ext uri="{FF2B5EF4-FFF2-40B4-BE49-F238E27FC236}">
              <a16:creationId xmlns:a16="http://schemas.microsoft.com/office/drawing/2014/main" id="{3FB2C7A8-F299-D56C-72A6-EB8E2F1DE40A}"/>
            </a:ext>
          </a:extLst>
        </xdr:cNvPr>
        <xdr:cNvCxnSpPr>
          <a:stCxn id="17" idx="3"/>
          <a:endCxn id="28" idx="1"/>
        </xdr:cNvCxnSpPr>
      </xdr:nvCxnSpPr>
      <xdr:spPr>
        <a:xfrm>
          <a:off x="7399020" y="3383280"/>
          <a:ext cx="441960" cy="381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525780</xdr:colOff>
      <xdr:row>16</xdr:row>
      <xdr:rowOff>167640</xdr:rowOff>
    </xdr:from>
    <xdr:to>
      <xdr:col>14</xdr:col>
      <xdr:colOff>411480</xdr:colOff>
      <xdr:row>20</xdr:row>
      <xdr:rowOff>22860</xdr:rowOff>
    </xdr:to>
    <xdr:sp macro="" textlink="">
      <xdr:nvSpPr>
        <xdr:cNvPr id="28" name="Fluxograma: Processo 27">
          <a:extLst>
            <a:ext uri="{FF2B5EF4-FFF2-40B4-BE49-F238E27FC236}">
              <a16:creationId xmlns:a16="http://schemas.microsoft.com/office/drawing/2014/main" id="{74D39245-D4D7-41F3-8CA3-1D23E3710912}"/>
            </a:ext>
          </a:extLst>
        </xdr:cNvPr>
        <xdr:cNvSpPr/>
      </xdr:nvSpPr>
      <xdr:spPr>
        <a:xfrm>
          <a:off x="7840980" y="3093720"/>
          <a:ext cx="1104900" cy="586740"/>
        </a:xfrm>
        <a:prstGeom prst="flowChartProcess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Solicitar nova leitura </a:t>
          </a:r>
          <a:endParaRPr lang="pt-BR" sz="1100"/>
        </a:p>
      </xdr:txBody>
    </xdr:sp>
    <xdr:clientData/>
  </xdr:twoCellAnchor>
  <xdr:twoCellAnchor>
    <xdr:from>
      <xdr:col>10</xdr:col>
      <xdr:colOff>240030</xdr:colOff>
      <xdr:row>21</xdr:row>
      <xdr:rowOff>121920</xdr:rowOff>
    </xdr:from>
    <xdr:to>
      <xdr:col>10</xdr:col>
      <xdr:colOff>247650</xdr:colOff>
      <xdr:row>24</xdr:row>
      <xdr:rowOff>7620</xdr:rowOff>
    </xdr:to>
    <xdr:cxnSp macro="">
      <xdr:nvCxnSpPr>
        <xdr:cNvPr id="31" name="Conector de Seta Reta 30">
          <a:extLst>
            <a:ext uri="{FF2B5EF4-FFF2-40B4-BE49-F238E27FC236}">
              <a16:creationId xmlns:a16="http://schemas.microsoft.com/office/drawing/2014/main" id="{C4DEE884-7838-3567-EEDA-570DB75B3BF8}"/>
            </a:ext>
          </a:extLst>
        </xdr:cNvPr>
        <xdr:cNvCxnSpPr>
          <a:stCxn id="17" idx="2"/>
          <a:endCxn id="36" idx="0"/>
        </xdr:cNvCxnSpPr>
      </xdr:nvCxnSpPr>
      <xdr:spPr>
        <a:xfrm>
          <a:off x="6336030" y="3962400"/>
          <a:ext cx="7620" cy="4343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304800</xdr:colOff>
      <xdr:row>24</xdr:row>
      <xdr:rowOff>7620</xdr:rowOff>
    </xdr:from>
    <xdr:to>
      <xdr:col>11</xdr:col>
      <xdr:colOff>190500</xdr:colOff>
      <xdr:row>27</xdr:row>
      <xdr:rowOff>45720</xdr:rowOff>
    </xdr:to>
    <xdr:sp macro="" textlink="">
      <xdr:nvSpPr>
        <xdr:cNvPr id="36" name="Fluxograma: Processo 35">
          <a:extLst>
            <a:ext uri="{FF2B5EF4-FFF2-40B4-BE49-F238E27FC236}">
              <a16:creationId xmlns:a16="http://schemas.microsoft.com/office/drawing/2014/main" id="{C3C1F6ED-A892-0C93-AB96-4DDB555BE4CD}"/>
            </a:ext>
          </a:extLst>
        </xdr:cNvPr>
        <xdr:cNvSpPr/>
      </xdr:nvSpPr>
      <xdr:spPr>
        <a:xfrm>
          <a:off x="5791200" y="4396740"/>
          <a:ext cx="1104900" cy="586740"/>
        </a:xfrm>
        <a:prstGeom prst="flowChartProcess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Selecionar ferramenta </a:t>
          </a:r>
          <a:endParaRPr lang="pt-BR" sz="1100"/>
        </a:p>
      </xdr:txBody>
    </xdr:sp>
    <xdr:clientData/>
  </xdr:twoCellAnchor>
  <xdr:twoCellAnchor>
    <xdr:from>
      <xdr:col>8</xdr:col>
      <xdr:colOff>419100</xdr:colOff>
      <xdr:row>29</xdr:row>
      <xdr:rowOff>15240</xdr:rowOff>
    </xdr:from>
    <xdr:to>
      <xdr:col>12</xdr:col>
      <xdr:colOff>106680</xdr:colOff>
      <xdr:row>33</xdr:row>
      <xdr:rowOff>137160</xdr:rowOff>
    </xdr:to>
    <xdr:sp macro="" textlink="">
      <xdr:nvSpPr>
        <xdr:cNvPr id="48" name="Fluxograma: Decisão 47">
          <a:extLst>
            <a:ext uri="{FF2B5EF4-FFF2-40B4-BE49-F238E27FC236}">
              <a16:creationId xmlns:a16="http://schemas.microsoft.com/office/drawing/2014/main" id="{4B309455-3504-4399-9434-2CD83AFD279F}"/>
            </a:ext>
          </a:extLst>
        </xdr:cNvPr>
        <xdr:cNvSpPr/>
      </xdr:nvSpPr>
      <xdr:spPr>
        <a:xfrm>
          <a:off x="5295900" y="5318760"/>
          <a:ext cx="2125980" cy="853440"/>
        </a:xfrm>
        <a:prstGeom prst="flowChartDecision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000"/>
            <a:t>Ferramenta calibrada? </a:t>
          </a:r>
        </a:p>
      </xdr:txBody>
    </xdr:sp>
    <xdr:clientData/>
  </xdr:twoCellAnchor>
  <xdr:twoCellAnchor>
    <xdr:from>
      <xdr:col>12</xdr:col>
      <xdr:colOff>121920</xdr:colOff>
      <xdr:row>31</xdr:row>
      <xdr:rowOff>68580</xdr:rowOff>
    </xdr:from>
    <xdr:to>
      <xdr:col>12</xdr:col>
      <xdr:colOff>563880</xdr:colOff>
      <xdr:row>31</xdr:row>
      <xdr:rowOff>72390</xdr:rowOff>
    </xdr:to>
    <xdr:cxnSp macro="">
      <xdr:nvCxnSpPr>
        <xdr:cNvPr id="52" name="Conector de Seta Reta 51">
          <a:extLst>
            <a:ext uri="{FF2B5EF4-FFF2-40B4-BE49-F238E27FC236}">
              <a16:creationId xmlns:a16="http://schemas.microsoft.com/office/drawing/2014/main" id="{348F2DC8-CCF7-41D2-975B-3A9172D011F9}"/>
            </a:ext>
          </a:extLst>
        </xdr:cNvPr>
        <xdr:cNvCxnSpPr>
          <a:endCxn id="53" idx="1"/>
        </xdr:cNvCxnSpPr>
      </xdr:nvCxnSpPr>
      <xdr:spPr>
        <a:xfrm>
          <a:off x="7437120" y="5737860"/>
          <a:ext cx="441960" cy="381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563880</xdr:colOff>
      <xdr:row>29</xdr:row>
      <xdr:rowOff>144780</xdr:rowOff>
    </xdr:from>
    <xdr:to>
      <xdr:col>14</xdr:col>
      <xdr:colOff>449580</xdr:colOff>
      <xdr:row>33</xdr:row>
      <xdr:rowOff>0</xdr:rowOff>
    </xdr:to>
    <xdr:sp macro="" textlink="">
      <xdr:nvSpPr>
        <xdr:cNvPr id="53" name="Fluxograma: Processo 52">
          <a:extLst>
            <a:ext uri="{FF2B5EF4-FFF2-40B4-BE49-F238E27FC236}">
              <a16:creationId xmlns:a16="http://schemas.microsoft.com/office/drawing/2014/main" id="{53E03E63-6961-48BA-B9B2-659CD267AAF9}"/>
            </a:ext>
          </a:extLst>
        </xdr:cNvPr>
        <xdr:cNvSpPr/>
      </xdr:nvSpPr>
      <xdr:spPr>
        <a:xfrm>
          <a:off x="7879080" y="5448300"/>
          <a:ext cx="1104900" cy="586740"/>
        </a:xfrm>
        <a:prstGeom prst="flowChartProcess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Enviar para calibração </a:t>
          </a:r>
          <a:endParaRPr lang="pt-BR" sz="1100"/>
        </a:p>
      </xdr:txBody>
    </xdr:sp>
    <xdr:clientData/>
  </xdr:twoCellAnchor>
  <xdr:twoCellAnchor>
    <xdr:from>
      <xdr:col>9</xdr:col>
      <xdr:colOff>411480</xdr:colOff>
      <xdr:row>35</xdr:row>
      <xdr:rowOff>144780</xdr:rowOff>
    </xdr:from>
    <xdr:to>
      <xdr:col>11</xdr:col>
      <xdr:colOff>297180</xdr:colOff>
      <xdr:row>39</xdr:row>
      <xdr:rowOff>0</xdr:rowOff>
    </xdr:to>
    <xdr:sp macro="" textlink="">
      <xdr:nvSpPr>
        <xdr:cNvPr id="54" name="Fluxograma: Processo 53">
          <a:extLst>
            <a:ext uri="{FF2B5EF4-FFF2-40B4-BE49-F238E27FC236}">
              <a16:creationId xmlns:a16="http://schemas.microsoft.com/office/drawing/2014/main" id="{F7259A9E-E0CB-4991-BE6B-3983313F931C}"/>
            </a:ext>
          </a:extLst>
        </xdr:cNvPr>
        <xdr:cNvSpPr/>
      </xdr:nvSpPr>
      <xdr:spPr>
        <a:xfrm>
          <a:off x="5897880" y="6545580"/>
          <a:ext cx="1104900" cy="586740"/>
        </a:xfrm>
        <a:prstGeom prst="flowChartProcess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Realizar aperto </a:t>
          </a:r>
          <a:endParaRPr lang="pt-BR" sz="1100"/>
        </a:p>
      </xdr:txBody>
    </xdr:sp>
    <xdr:clientData/>
  </xdr:twoCellAnchor>
  <xdr:twoCellAnchor>
    <xdr:from>
      <xdr:col>8</xdr:col>
      <xdr:colOff>533400</xdr:colOff>
      <xdr:row>40</xdr:row>
      <xdr:rowOff>152400</xdr:rowOff>
    </xdr:from>
    <xdr:to>
      <xdr:col>12</xdr:col>
      <xdr:colOff>220980</xdr:colOff>
      <xdr:row>44</xdr:row>
      <xdr:rowOff>0</xdr:rowOff>
    </xdr:to>
    <xdr:sp macro="" textlink="">
      <xdr:nvSpPr>
        <xdr:cNvPr id="55" name="Fluxograma: Decisão 54">
          <a:extLst>
            <a:ext uri="{FF2B5EF4-FFF2-40B4-BE49-F238E27FC236}">
              <a16:creationId xmlns:a16="http://schemas.microsoft.com/office/drawing/2014/main" id="{E8A57BE3-0721-492D-866A-A607F957723D}"/>
            </a:ext>
          </a:extLst>
        </xdr:cNvPr>
        <xdr:cNvSpPr/>
      </xdr:nvSpPr>
      <xdr:spPr>
        <a:xfrm>
          <a:off x="5410200" y="7467600"/>
          <a:ext cx="2125980" cy="579120"/>
        </a:xfrm>
        <a:prstGeom prst="flowChartDecision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000"/>
            <a:t>Torque atingido? </a:t>
          </a:r>
        </a:p>
      </xdr:txBody>
    </xdr:sp>
    <xdr:clientData/>
  </xdr:twoCellAnchor>
  <xdr:twoCellAnchor>
    <xdr:from>
      <xdr:col>12</xdr:col>
      <xdr:colOff>220980</xdr:colOff>
      <xdr:row>42</xdr:row>
      <xdr:rowOff>64770</xdr:rowOff>
    </xdr:from>
    <xdr:to>
      <xdr:col>13</xdr:col>
      <xdr:colOff>22860</xdr:colOff>
      <xdr:row>42</xdr:row>
      <xdr:rowOff>76200</xdr:rowOff>
    </xdr:to>
    <xdr:cxnSp macro="">
      <xdr:nvCxnSpPr>
        <xdr:cNvPr id="56" name="Conector de Seta Reta 55">
          <a:extLst>
            <a:ext uri="{FF2B5EF4-FFF2-40B4-BE49-F238E27FC236}">
              <a16:creationId xmlns:a16="http://schemas.microsoft.com/office/drawing/2014/main" id="{22C4A32D-450E-47D0-B7C2-32F3F06D2E60}"/>
            </a:ext>
          </a:extLst>
        </xdr:cNvPr>
        <xdr:cNvCxnSpPr>
          <a:stCxn id="55" idx="3"/>
          <a:endCxn id="57" idx="1"/>
        </xdr:cNvCxnSpPr>
      </xdr:nvCxnSpPr>
      <xdr:spPr>
        <a:xfrm flipV="1">
          <a:off x="7536180" y="7745730"/>
          <a:ext cx="411480" cy="114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22860</xdr:colOff>
      <xdr:row>40</xdr:row>
      <xdr:rowOff>137160</xdr:rowOff>
    </xdr:from>
    <xdr:to>
      <xdr:col>14</xdr:col>
      <xdr:colOff>518160</xdr:colOff>
      <xdr:row>43</xdr:row>
      <xdr:rowOff>175260</xdr:rowOff>
    </xdr:to>
    <xdr:sp macro="" textlink="">
      <xdr:nvSpPr>
        <xdr:cNvPr id="57" name="Fluxograma: Processo 56">
          <a:extLst>
            <a:ext uri="{FF2B5EF4-FFF2-40B4-BE49-F238E27FC236}">
              <a16:creationId xmlns:a16="http://schemas.microsoft.com/office/drawing/2014/main" id="{CF9FFACA-C2E9-4F45-966C-50D53A31C1CF}"/>
            </a:ext>
          </a:extLst>
        </xdr:cNvPr>
        <xdr:cNvSpPr/>
      </xdr:nvSpPr>
      <xdr:spPr>
        <a:xfrm>
          <a:off x="7947660" y="7452360"/>
          <a:ext cx="1104900" cy="586740"/>
        </a:xfrm>
        <a:prstGeom prst="flowChartProcess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Reapertar</a:t>
          </a:r>
          <a:endParaRPr lang="pt-BR" sz="1100"/>
        </a:p>
      </xdr:txBody>
    </xdr:sp>
    <xdr:clientData/>
  </xdr:twoCellAnchor>
  <xdr:twoCellAnchor>
    <xdr:from>
      <xdr:col>9</xdr:col>
      <xdr:colOff>502920</xdr:colOff>
      <xdr:row>45</xdr:row>
      <xdr:rowOff>99060</xdr:rowOff>
    </xdr:from>
    <xdr:to>
      <xdr:col>11</xdr:col>
      <xdr:colOff>388620</xdr:colOff>
      <xdr:row>48</xdr:row>
      <xdr:rowOff>137160</xdr:rowOff>
    </xdr:to>
    <xdr:sp macro="" textlink="">
      <xdr:nvSpPr>
        <xdr:cNvPr id="58" name="Fluxograma: Processo 57">
          <a:extLst>
            <a:ext uri="{FF2B5EF4-FFF2-40B4-BE49-F238E27FC236}">
              <a16:creationId xmlns:a16="http://schemas.microsoft.com/office/drawing/2014/main" id="{5BE48F22-8CEE-484F-954F-4C3592A9FE6B}"/>
            </a:ext>
          </a:extLst>
        </xdr:cNvPr>
        <xdr:cNvSpPr/>
      </xdr:nvSpPr>
      <xdr:spPr>
        <a:xfrm>
          <a:off x="5989320" y="8328660"/>
          <a:ext cx="1104900" cy="586740"/>
        </a:xfrm>
        <a:prstGeom prst="flowChartProcess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Registrar torque </a:t>
          </a:r>
          <a:endParaRPr lang="pt-BR" sz="1100"/>
        </a:p>
      </xdr:txBody>
    </xdr:sp>
    <xdr:clientData/>
  </xdr:twoCellAnchor>
  <xdr:twoCellAnchor>
    <xdr:from>
      <xdr:col>10</xdr:col>
      <xdr:colOff>247650</xdr:colOff>
      <xdr:row>27</xdr:row>
      <xdr:rowOff>45720</xdr:rowOff>
    </xdr:from>
    <xdr:to>
      <xdr:col>10</xdr:col>
      <xdr:colOff>262890</xdr:colOff>
      <xdr:row>29</xdr:row>
      <xdr:rowOff>15240</xdr:rowOff>
    </xdr:to>
    <xdr:cxnSp macro="">
      <xdr:nvCxnSpPr>
        <xdr:cNvPr id="59" name="Conector de Seta Reta 58">
          <a:extLst>
            <a:ext uri="{FF2B5EF4-FFF2-40B4-BE49-F238E27FC236}">
              <a16:creationId xmlns:a16="http://schemas.microsoft.com/office/drawing/2014/main" id="{6C8486FD-1BF4-4AC2-9EFA-F13F2AC882AF}"/>
            </a:ext>
          </a:extLst>
        </xdr:cNvPr>
        <xdr:cNvCxnSpPr>
          <a:stCxn id="36" idx="2"/>
          <a:endCxn id="48" idx="0"/>
        </xdr:cNvCxnSpPr>
      </xdr:nvCxnSpPr>
      <xdr:spPr>
        <a:xfrm>
          <a:off x="6343650" y="4983480"/>
          <a:ext cx="15240" cy="3352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262890</xdr:colOff>
      <xdr:row>33</xdr:row>
      <xdr:rowOff>137160</xdr:rowOff>
    </xdr:from>
    <xdr:to>
      <xdr:col>10</xdr:col>
      <xdr:colOff>354330</xdr:colOff>
      <xdr:row>35</xdr:row>
      <xdr:rowOff>144780</xdr:rowOff>
    </xdr:to>
    <xdr:cxnSp macro="">
      <xdr:nvCxnSpPr>
        <xdr:cNvPr id="62" name="Conector de Seta Reta 61">
          <a:extLst>
            <a:ext uri="{FF2B5EF4-FFF2-40B4-BE49-F238E27FC236}">
              <a16:creationId xmlns:a16="http://schemas.microsoft.com/office/drawing/2014/main" id="{B490CD93-5782-44B7-AA0F-E268AD7BC6A9}"/>
            </a:ext>
          </a:extLst>
        </xdr:cNvPr>
        <xdr:cNvCxnSpPr>
          <a:stCxn id="48" idx="2"/>
          <a:endCxn id="54" idx="0"/>
        </xdr:cNvCxnSpPr>
      </xdr:nvCxnSpPr>
      <xdr:spPr>
        <a:xfrm>
          <a:off x="6358890" y="6172200"/>
          <a:ext cx="91440" cy="3733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354330</xdr:colOff>
      <xdr:row>39</xdr:row>
      <xdr:rowOff>0</xdr:rowOff>
    </xdr:from>
    <xdr:to>
      <xdr:col>10</xdr:col>
      <xdr:colOff>377190</xdr:colOff>
      <xdr:row>40</xdr:row>
      <xdr:rowOff>152400</xdr:rowOff>
    </xdr:to>
    <xdr:cxnSp macro="">
      <xdr:nvCxnSpPr>
        <xdr:cNvPr id="65" name="Conector de Seta Reta 64">
          <a:extLst>
            <a:ext uri="{FF2B5EF4-FFF2-40B4-BE49-F238E27FC236}">
              <a16:creationId xmlns:a16="http://schemas.microsoft.com/office/drawing/2014/main" id="{62C4A7FD-3DE2-4954-A0CB-6D74ED087CCD}"/>
            </a:ext>
          </a:extLst>
        </xdr:cNvPr>
        <xdr:cNvCxnSpPr>
          <a:stCxn id="54" idx="2"/>
          <a:endCxn id="55" idx="0"/>
        </xdr:cNvCxnSpPr>
      </xdr:nvCxnSpPr>
      <xdr:spPr>
        <a:xfrm>
          <a:off x="6450330" y="7132320"/>
          <a:ext cx="22860" cy="3352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377190</xdr:colOff>
      <xdr:row>44</xdr:row>
      <xdr:rowOff>0</xdr:rowOff>
    </xdr:from>
    <xdr:to>
      <xdr:col>10</xdr:col>
      <xdr:colOff>445770</xdr:colOff>
      <xdr:row>45</xdr:row>
      <xdr:rowOff>99060</xdr:rowOff>
    </xdr:to>
    <xdr:cxnSp macro="">
      <xdr:nvCxnSpPr>
        <xdr:cNvPr id="71" name="Conector de Seta Reta 70">
          <a:extLst>
            <a:ext uri="{FF2B5EF4-FFF2-40B4-BE49-F238E27FC236}">
              <a16:creationId xmlns:a16="http://schemas.microsoft.com/office/drawing/2014/main" id="{4B5DCD71-F208-49D1-883D-ED3D9BB93182}"/>
            </a:ext>
          </a:extLst>
        </xdr:cNvPr>
        <xdr:cNvCxnSpPr>
          <a:stCxn id="55" idx="2"/>
          <a:endCxn id="58" idx="0"/>
        </xdr:cNvCxnSpPr>
      </xdr:nvCxnSpPr>
      <xdr:spPr>
        <a:xfrm>
          <a:off x="6473190" y="8046720"/>
          <a:ext cx="68580" cy="2819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563880</xdr:colOff>
      <xdr:row>50</xdr:row>
      <xdr:rowOff>129540</xdr:rowOff>
    </xdr:from>
    <xdr:to>
      <xdr:col>11</xdr:col>
      <xdr:colOff>449580</xdr:colOff>
      <xdr:row>53</xdr:row>
      <xdr:rowOff>167640</xdr:rowOff>
    </xdr:to>
    <xdr:sp macro="" textlink="">
      <xdr:nvSpPr>
        <xdr:cNvPr id="74" name="Fluxograma: Processo 73">
          <a:extLst>
            <a:ext uri="{FF2B5EF4-FFF2-40B4-BE49-F238E27FC236}">
              <a16:creationId xmlns:a16="http://schemas.microsoft.com/office/drawing/2014/main" id="{76944B0D-C70C-47ED-BC15-DE6938FDBDBF}"/>
            </a:ext>
          </a:extLst>
        </xdr:cNvPr>
        <xdr:cNvSpPr/>
      </xdr:nvSpPr>
      <xdr:spPr>
        <a:xfrm>
          <a:off x="6050280" y="9273540"/>
          <a:ext cx="1104900" cy="586740"/>
        </a:xfrm>
        <a:prstGeom prst="flowChartProcess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Inspeção</a:t>
          </a:r>
          <a:endParaRPr lang="pt-BR" sz="1100"/>
        </a:p>
      </xdr:txBody>
    </xdr:sp>
    <xdr:clientData/>
  </xdr:twoCellAnchor>
  <xdr:twoCellAnchor>
    <xdr:from>
      <xdr:col>10</xdr:col>
      <xdr:colOff>445770</xdr:colOff>
      <xdr:row>48</xdr:row>
      <xdr:rowOff>137160</xdr:rowOff>
    </xdr:from>
    <xdr:to>
      <xdr:col>10</xdr:col>
      <xdr:colOff>506730</xdr:colOff>
      <xdr:row>50</xdr:row>
      <xdr:rowOff>129540</xdr:rowOff>
    </xdr:to>
    <xdr:cxnSp macro="">
      <xdr:nvCxnSpPr>
        <xdr:cNvPr id="75" name="Conector de Seta Reta 74">
          <a:extLst>
            <a:ext uri="{FF2B5EF4-FFF2-40B4-BE49-F238E27FC236}">
              <a16:creationId xmlns:a16="http://schemas.microsoft.com/office/drawing/2014/main" id="{0B9B6397-1FB6-4D57-A8A1-6C574CE9D2B1}"/>
            </a:ext>
          </a:extLst>
        </xdr:cNvPr>
        <xdr:cNvCxnSpPr>
          <a:stCxn id="58" idx="2"/>
          <a:endCxn id="74" idx="0"/>
        </xdr:cNvCxnSpPr>
      </xdr:nvCxnSpPr>
      <xdr:spPr>
        <a:xfrm>
          <a:off x="6541770" y="8915400"/>
          <a:ext cx="60960" cy="3581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9</xdr:col>
      <xdr:colOff>106680</xdr:colOff>
      <xdr:row>55</xdr:row>
      <xdr:rowOff>167640</xdr:rowOff>
    </xdr:from>
    <xdr:to>
      <xdr:col>12</xdr:col>
      <xdr:colOff>403860</xdr:colOff>
      <xdr:row>59</xdr:row>
      <xdr:rowOff>15240</xdr:rowOff>
    </xdr:to>
    <xdr:sp macro="" textlink="">
      <xdr:nvSpPr>
        <xdr:cNvPr id="77" name="Fluxograma: Decisão 76">
          <a:extLst>
            <a:ext uri="{FF2B5EF4-FFF2-40B4-BE49-F238E27FC236}">
              <a16:creationId xmlns:a16="http://schemas.microsoft.com/office/drawing/2014/main" id="{7127F05E-9F67-4882-B93C-36AFEFB5E926}"/>
            </a:ext>
          </a:extLst>
        </xdr:cNvPr>
        <xdr:cNvSpPr/>
      </xdr:nvSpPr>
      <xdr:spPr>
        <a:xfrm>
          <a:off x="5593080" y="10226040"/>
          <a:ext cx="2125980" cy="579120"/>
        </a:xfrm>
        <a:prstGeom prst="flowChartDecision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000"/>
            <a:t>Conforme?</a:t>
          </a:r>
        </a:p>
      </xdr:txBody>
    </xdr:sp>
    <xdr:clientData/>
  </xdr:twoCellAnchor>
  <xdr:twoCellAnchor>
    <xdr:from>
      <xdr:col>10</xdr:col>
      <xdr:colOff>506730</xdr:colOff>
      <xdr:row>53</xdr:row>
      <xdr:rowOff>167640</xdr:rowOff>
    </xdr:from>
    <xdr:to>
      <xdr:col>10</xdr:col>
      <xdr:colOff>560070</xdr:colOff>
      <xdr:row>55</xdr:row>
      <xdr:rowOff>167640</xdr:rowOff>
    </xdr:to>
    <xdr:cxnSp macro="">
      <xdr:nvCxnSpPr>
        <xdr:cNvPr id="78" name="Conector de Seta Reta 77">
          <a:extLst>
            <a:ext uri="{FF2B5EF4-FFF2-40B4-BE49-F238E27FC236}">
              <a16:creationId xmlns:a16="http://schemas.microsoft.com/office/drawing/2014/main" id="{DEB7886A-C83B-475B-A370-4BB76DBA074E}"/>
            </a:ext>
          </a:extLst>
        </xdr:cNvPr>
        <xdr:cNvCxnSpPr>
          <a:stCxn id="74" idx="2"/>
          <a:endCxn id="77" idx="0"/>
        </xdr:cNvCxnSpPr>
      </xdr:nvCxnSpPr>
      <xdr:spPr>
        <a:xfrm>
          <a:off x="6602730" y="9860280"/>
          <a:ext cx="53340" cy="36576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403860</xdr:colOff>
      <xdr:row>57</xdr:row>
      <xdr:rowOff>91440</xdr:rowOff>
    </xdr:from>
    <xdr:to>
      <xdr:col>13</xdr:col>
      <xdr:colOff>213360</xdr:colOff>
      <xdr:row>57</xdr:row>
      <xdr:rowOff>95250</xdr:rowOff>
    </xdr:to>
    <xdr:cxnSp macro="">
      <xdr:nvCxnSpPr>
        <xdr:cNvPr id="80" name="Conector de Seta Reta 79">
          <a:extLst>
            <a:ext uri="{FF2B5EF4-FFF2-40B4-BE49-F238E27FC236}">
              <a16:creationId xmlns:a16="http://schemas.microsoft.com/office/drawing/2014/main" id="{02A7D08B-265B-46A9-8E4B-6F06BCD4ABCA}"/>
            </a:ext>
          </a:extLst>
        </xdr:cNvPr>
        <xdr:cNvCxnSpPr>
          <a:stCxn id="77" idx="3"/>
          <a:endCxn id="81" idx="1"/>
        </xdr:cNvCxnSpPr>
      </xdr:nvCxnSpPr>
      <xdr:spPr>
        <a:xfrm>
          <a:off x="7719060" y="10515600"/>
          <a:ext cx="419100" cy="381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213360</xdr:colOff>
      <xdr:row>55</xdr:row>
      <xdr:rowOff>167640</xdr:rowOff>
    </xdr:from>
    <xdr:to>
      <xdr:col>15</xdr:col>
      <xdr:colOff>99060</xdr:colOff>
      <xdr:row>59</xdr:row>
      <xdr:rowOff>22860</xdr:rowOff>
    </xdr:to>
    <xdr:sp macro="" textlink="">
      <xdr:nvSpPr>
        <xdr:cNvPr id="81" name="Fluxograma: Processo 80">
          <a:extLst>
            <a:ext uri="{FF2B5EF4-FFF2-40B4-BE49-F238E27FC236}">
              <a16:creationId xmlns:a16="http://schemas.microsoft.com/office/drawing/2014/main" id="{71C54EEF-F5BF-4C36-8460-6147DBA5E383}"/>
            </a:ext>
          </a:extLst>
        </xdr:cNvPr>
        <xdr:cNvSpPr/>
      </xdr:nvSpPr>
      <xdr:spPr>
        <a:xfrm>
          <a:off x="8138160" y="10226040"/>
          <a:ext cx="1104900" cy="586740"/>
        </a:xfrm>
        <a:prstGeom prst="flowChartProcess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Retrabalho</a:t>
          </a:r>
          <a:endParaRPr lang="pt-BR" sz="1100"/>
        </a:p>
      </xdr:txBody>
    </xdr:sp>
    <xdr:clientData/>
  </xdr:twoCellAnchor>
  <xdr:twoCellAnchor>
    <xdr:from>
      <xdr:col>10</xdr:col>
      <xdr:colOff>53340</xdr:colOff>
      <xdr:row>62</xdr:row>
      <xdr:rowOff>7620</xdr:rowOff>
    </xdr:from>
    <xdr:to>
      <xdr:col>11</xdr:col>
      <xdr:colOff>548640</xdr:colOff>
      <xdr:row>65</xdr:row>
      <xdr:rowOff>45720</xdr:rowOff>
    </xdr:to>
    <xdr:sp macro="" textlink="">
      <xdr:nvSpPr>
        <xdr:cNvPr id="83" name="Fluxograma: Processo 82">
          <a:extLst>
            <a:ext uri="{FF2B5EF4-FFF2-40B4-BE49-F238E27FC236}">
              <a16:creationId xmlns:a16="http://schemas.microsoft.com/office/drawing/2014/main" id="{69A7AA49-0E81-45E9-BF64-C40EF4D6523B}"/>
            </a:ext>
          </a:extLst>
        </xdr:cNvPr>
        <xdr:cNvSpPr/>
      </xdr:nvSpPr>
      <xdr:spPr>
        <a:xfrm>
          <a:off x="6149340" y="11346180"/>
          <a:ext cx="1104900" cy="586740"/>
        </a:xfrm>
        <a:prstGeom prst="flowChartProcess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Proxima Estação</a:t>
          </a:r>
          <a:endParaRPr lang="pt-BR" sz="1100"/>
        </a:p>
      </xdr:txBody>
    </xdr:sp>
    <xdr:clientData/>
  </xdr:twoCellAnchor>
  <xdr:twoCellAnchor>
    <xdr:from>
      <xdr:col>10</xdr:col>
      <xdr:colOff>560070</xdr:colOff>
      <xdr:row>59</xdr:row>
      <xdr:rowOff>15240</xdr:rowOff>
    </xdr:from>
    <xdr:to>
      <xdr:col>10</xdr:col>
      <xdr:colOff>605790</xdr:colOff>
      <xdr:row>62</xdr:row>
      <xdr:rowOff>7620</xdr:rowOff>
    </xdr:to>
    <xdr:cxnSp macro="">
      <xdr:nvCxnSpPr>
        <xdr:cNvPr id="84" name="Conector de Seta Reta 83">
          <a:extLst>
            <a:ext uri="{FF2B5EF4-FFF2-40B4-BE49-F238E27FC236}">
              <a16:creationId xmlns:a16="http://schemas.microsoft.com/office/drawing/2014/main" id="{D1D3FF8D-5E4E-4D4D-B94F-6CD2F073F6DC}"/>
            </a:ext>
          </a:extLst>
        </xdr:cNvPr>
        <xdr:cNvCxnSpPr>
          <a:stCxn id="77" idx="2"/>
          <a:endCxn id="83" idx="0"/>
        </xdr:cNvCxnSpPr>
      </xdr:nvCxnSpPr>
      <xdr:spPr>
        <a:xfrm>
          <a:off x="6656070" y="10805160"/>
          <a:ext cx="45720" cy="5410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605790</xdr:colOff>
      <xdr:row>65</xdr:row>
      <xdr:rowOff>45720</xdr:rowOff>
    </xdr:from>
    <xdr:to>
      <xdr:col>11</xdr:col>
      <xdr:colOff>19050</xdr:colOff>
      <xdr:row>67</xdr:row>
      <xdr:rowOff>114300</xdr:rowOff>
    </xdr:to>
    <xdr:cxnSp macro="">
      <xdr:nvCxnSpPr>
        <xdr:cNvPr id="88" name="Conector de Seta Reta 87">
          <a:extLst>
            <a:ext uri="{FF2B5EF4-FFF2-40B4-BE49-F238E27FC236}">
              <a16:creationId xmlns:a16="http://schemas.microsoft.com/office/drawing/2014/main" id="{8F66558B-3C50-307E-1F29-C206B788B12D}"/>
            </a:ext>
          </a:extLst>
        </xdr:cNvPr>
        <xdr:cNvCxnSpPr>
          <a:stCxn id="83" idx="2"/>
          <a:endCxn id="89" idx="0"/>
        </xdr:cNvCxnSpPr>
      </xdr:nvCxnSpPr>
      <xdr:spPr>
        <a:xfrm>
          <a:off x="6701790" y="11932920"/>
          <a:ext cx="22860" cy="4343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266700</xdr:colOff>
      <xdr:row>67</xdr:row>
      <xdr:rowOff>114300</xdr:rowOff>
    </xdr:from>
    <xdr:to>
      <xdr:col>11</xdr:col>
      <xdr:colOff>381000</xdr:colOff>
      <xdr:row>69</xdr:row>
      <xdr:rowOff>106680</xdr:rowOff>
    </xdr:to>
    <xdr:sp macro="" textlink="">
      <xdr:nvSpPr>
        <xdr:cNvPr id="89" name="Fluxograma: Terminação 88">
          <a:extLst>
            <a:ext uri="{FF2B5EF4-FFF2-40B4-BE49-F238E27FC236}">
              <a16:creationId xmlns:a16="http://schemas.microsoft.com/office/drawing/2014/main" id="{52F4B20E-600A-FF8A-1C75-0AC46043233B}"/>
            </a:ext>
          </a:extLst>
        </xdr:cNvPr>
        <xdr:cNvSpPr/>
      </xdr:nvSpPr>
      <xdr:spPr>
        <a:xfrm>
          <a:off x="6362700" y="12367260"/>
          <a:ext cx="723900" cy="358140"/>
        </a:xfrm>
        <a:prstGeom prst="flowChartTerminator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/>
            <a:t>Fim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2</xdr:row>
      <xdr:rowOff>79612</xdr:rowOff>
    </xdr:from>
    <xdr:to>
      <xdr:col>10</xdr:col>
      <xdr:colOff>4223</xdr:colOff>
      <xdr:row>22</xdr:row>
      <xdr:rowOff>46143</xdr:rowOff>
    </xdr:to>
    <xdr:pic>
      <xdr:nvPicPr>
        <xdr:cNvPr id="121" name="Imagem 120">
          <a:extLst>
            <a:ext uri="{FF2B5EF4-FFF2-40B4-BE49-F238E27FC236}">
              <a16:creationId xmlns:a16="http://schemas.microsoft.com/office/drawing/2014/main" id="{503206CF-8781-7223-C33A-6F7C35B1A4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43552"/>
          <a:ext cx="6137702" cy="360593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61380</xdr:rowOff>
    </xdr:from>
    <xdr:to>
      <xdr:col>10</xdr:col>
      <xdr:colOff>646</xdr:colOff>
      <xdr:row>44</xdr:row>
      <xdr:rowOff>159761</xdr:rowOff>
    </xdr:to>
    <xdr:pic>
      <xdr:nvPicPr>
        <xdr:cNvPr id="122" name="Imagem 121">
          <a:extLst>
            <a:ext uri="{FF2B5EF4-FFF2-40B4-BE49-F238E27FC236}">
              <a16:creationId xmlns:a16="http://schemas.microsoft.com/office/drawing/2014/main" id="{D2D50F7F-8114-9A25-C31C-FFCB1FC7B8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428664"/>
          <a:ext cx="6142139" cy="373778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46</xdr:row>
      <xdr:rowOff>174998</xdr:rowOff>
    </xdr:from>
    <xdr:to>
      <xdr:col>9</xdr:col>
      <xdr:colOff>602775</xdr:colOff>
      <xdr:row>67</xdr:row>
      <xdr:rowOff>42657</xdr:rowOff>
    </xdr:to>
    <xdr:pic>
      <xdr:nvPicPr>
        <xdr:cNvPr id="123" name="Imagem 122">
          <a:extLst>
            <a:ext uri="{FF2B5EF4-FFF2-40B4-BE49-F238E27FC236}">
              <a16:creationId xmlns:a16="http://schemas.microsoft.com/office/drawing/2014/main" id="{652E512E-44CA-9012-C7BD-3D709E042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8545625"/>
          <a:ext cx="6130118" cy="3689032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ellison Braz da Silva" refreshedDate="46216.044102314816" createdVersion="8" refreshedVersion="8" minRefreshableVersion="3" recordCount="550" xr:uid="{98167874-2570-48E0-8CC6-E92F9A21D07F}">
  <cacheSource type="worksheet">
    <worksheetSource name="Tb.qualidade"/>
  </cacheSource>
  <cacheFields count="13">
    <cacheField name="ID" numFmtId="0">
      <sharedItems containsSemiMixedTypes="0" containsString="0" containsNumber="1" containsInteger="1" minValue="1" maxValue="550"/>
    </cacheField>
    <cacheField name="Data" numFmtId="0">
      <sharedItems containsDate="1" containsMixedTypes="1" minDate="2025-01-03T00:00:00" maxDate="2025-12-31T00:00:00"/>
    </cacheField>
    <cacheField name="Modelo" numFmtId="0">
      <sharedItems count="5">
        <s v="SUV C"/>
        <s v="Sedan B"/>
        <s v="Hatch A"/>
        <s v="Pickup D"/>
        <s v="Elétrico EV"/>
      </sharedItems>
    </cacheField>
    <cacheField name="Área" numFmtId="0">
      <sharedItems count="9">
        <s v="Montagem"/>
        <s v="Elétrica"/>
        <s v="Pintura"/>
        <s v="Acabamento"/>
        <s v="Powertrain"/>
        <s v="Eletrônica"/>
        <s v="Segurança"/>
        <s v="Carroceria"/>
        <s v="Chassi"/>
      </sharedItems>
    </cacheField>
    <cacheField name="Problema" numFmtId="0">
      <sharedItems count="14">
        <s v="Torque fora da especificação"/>
        <s v="Falha no sensor ABS"/>
        <s v="Falha na pintura"/>
        <s v="Ruído interno"/>
        <s v="Vazamento de óleo"/>
        <s v="Parafuso ausente"/>
        <s v="Falha na central multimídia"/>
        <s v="Airbag com falha de comunicação"/>
        <s v="Desalinhamento das portas"/>
        <s v="Vazamento de líquido de arrefecimento"/>
        <s v="Risco na carroceria"/>
        <s v="Ruído na suspensão"/>
        <s v="Falha na vedação"/>
        <s v="Falha no chicote elétrico"/>
      </sharedItems>
    </cacheField>
    <cacheField name="Gravidade" numFmtId="0">
      <sharedItems count="4">
        <s v="Alta"/>
        <s v="Média"/>
        <s v="Baixa"/>
        <s v="Crítica"/>
      </sharedItems>
    </cacheField>
    <cacheField name="Produção" numFmtId="0">
      <sharedItems containsSemiMixedTypes="0" containsString="0" containsNumber="1" containsInteger="1" minValue="10" maxValue="130"/>
    </cacheField>
    <cacheField name="Defeitos" numFmtId="0">
      <sharedItems containsSemiMixedTypes="0" containsString="0" containsNumber="1" containsInteger="1" minValue="1" maxValue="12"/>
    </cacheField>
    <cacheField name="Pós-venda" numFmtId="0">
      <sharedItems containsSemiMixedTypes="0" containsString="0" containsNumber="1" containsInteger="1" minValue="0" maxValue="7" count="8">
        <n v="4"/>
        <n v="2"/>
        <n v="1"/>
        <n v="5"/>
        <n v="3"/>
        <n v="6"/>
        <n v="0"/>
        <n v="7"/>
      </sharedItems>
    </cacheField>
    <cacheField name="Semestre" numFmtId="0">
      <sharedItems/>
    </cacheField>
    <cacheField name="Trimestre" numFmtId="0">
      <sharedItems count="4">
        <s v="T1"/>
        <s v="T2"/>
        <s v="T3"/>
        <s v="T4"/>
      </sharedItems>
    </cacheField>
    <cacheField name="Mês" numFmtId="0">
      <sharedItems count="12">
        <s v="jan"/>
        <s v="fev"/>
        <s v="mar"/>
        <s v="abr"/>
        <s v="mai"/>
        <s v="jun"/>
        <s v="jul"/>
        <s v="ago"/>
        <s v="set"/>
        <s v="out"/>
        <s v="nov"/>
        <s v="dez"/>
      </sharedItems>
    </cacheField>
    <cacheField name="Nº Mês" numFmtId="0">
      <sharedItems containsSemiMixedTypes="0" containsString="0" containsNumber="1" containsInteger="1" minValue="1" maxValue="12"/>
    </cacheField>
  </cacheFields>
  <extLst>
    <ext xmlns:x14="http://schemas.microsoft.com/office/spreadsheetml/2009/9/main" uri="{725AE2AE-9491-48be-B2B4-4EB974FC3084}">
      <x14:pivotCacheDefinition pivotCacheId="10894010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0">
  <r>
    <n v="1"/>
    <d v="2025-01-03T00:00:00"/>
    <x v="0"/>
    <x v="0"/>
    <x v="0"/>
    <x v="0"/>
    <n v="121"/>
    <n v="7"/>
    <x v="0"/>
    <s v="1º Semestre"/>
    <x v="0"/>
    <x v="0"/>
    <n v="1"/>
  </r>
  <r>
    <n v="2"/>
    <d v="2025-01-03T00:00:00"/>
    <x v="0"/>
    <x v="1"/>
    <x v="1"/>
    <x v="0"/>
    <n v="109"/>
    <n v="3"/>
    <x v="1"/>
    <s v="1º Semestre"/>
    <x v="0"/>
    <x v="0"/>
    <n v="1"/>
  </r>
  <r>
    <n v="3"/>
    <d v="2025-01-05T00:00:00"/>
    <x v="1"/>
    <x v="2"/>
    <x v="2"/>
    <x v="1"/>
    <n v="97"/>
    <n v="9"/>
    <x v="2"/>
    <s v="1º Semestre"/>
    <x v="0"/>
    <x v="0"/>
    <n v="1"/>
  </r>
  <r>
    <n v="4"/>
    <d v="2025-01-06T00:00:00"/>
    <x v="2"/>
    <x v="3"/>
    <x v="3"/>
    <x v="1"/>
    <n v="50"/>
    <n v="6"/>
    <x v="3"/>
    <s v="1º Semestre"/>
    <x v="0"/>
    <x v="0"/>
    <n v="1"/>
  </r>
  <r>
    <n v="5"/>
    <d v="2025-01-07T00:00:00"/>
    <x v="3"/>
    <x v="4"/>
    <x v="4"/>
    <x v="0"/>
    <n v="30"/>
    <n v="2"/>
    <x v="1"/>
    <s v="1º Semestre"/>
    <x v="0"/>
    <x v="0"/>
    <n v="1"/>
  </r>
  <r>
    <n v="6"/>
    <d v="2025-01-08T00:00:00"/>
    <x v="0"/>
    <x v="0"/>
    <x v="5"/>
    <x v="0"/>
    <n v="125"/>
    <n v="4"/>
    <x v="4"/>
    <s v="1º Semestre"/>
    <x v="0"/>
    <x v="0"/>
    <n v="1"/>
  </r>
  <r>
    <n v="7"/>
    <d v="2025-01-09T00:00:00"/>
    <x v="4"/>
    <x v="5"/>
    <x v="6"/>
    <x v="2"/>
    <n v="30"/>
    <n v="5"/>
    <x v="1"/>
    <s v="1º Semestre"/>
    <x v="0"/>
    <x v="0"/>
    <n v="1"/>
  </r>
  <r>
    <n v="8"/>
    <d v="2025-01-10T00:00:00"/>
    <x v="1"/>
    <x v="6"/>
    <x v="7"/>
    <x v="3"/>
    <n v="99"/>
    <n v="1"/>
    <x v="2"/>
    <s v="1º Semestre"/>
    <x v="0"/>
    <x v="0"/>
    <n v="1"/>
  </r>
  <r>
    <n v="9"/>
    <d v="2025-01-10T00:00:00"/>
    <x v="0"/>
    <x v="7"/>
    <x v="8"/>
    <x v="1"/>
    <n v="113"/>
    <n v="5"/>
    <x v="0"/>
    <s v="1º Semestre"/>
    <x v="0"/>
    <x v="0"/>
    <n v="1"/>
  </r>
  <r>
    <n v="10"/>
    <d v="2025-01-11T00:00:00"/>
    <x v="3"/>
    <x v="4"/>
    <x v="9"/>
    <x v="0"/>
    <n v="30"/>
    <n v="3"/>
    <x v="1"/>
    <s v="1º Semestre"/>
    <x v="0"/>
    <x v="0"/>
    <n v="1"/>
  </r>
  <r>
    <n v="11"/>
    <s v="13/01/2025"/>
    <x v="2"/>
    <x v="2"/>
    <x v="10"/>
    <x v="2"/>
    <n v="41"/>
    <n v="12"/>
    <x v="2"/>
    <s v="1º Semestre"/>
    <x v="0"/>
    <x v="0"/>
    <n v="1"/>
  </r>
  <r>
    <n v="12"/>
    <s v="14/01/2025"/>
    <x v="0"/>
    <x v="8"/>
    <x v="11"/>
    <x v="1"/>
    <n v="117"/>
    <n v="7"/>
    <x v="3"/>
    <s v="1º Semestre"/>
    <x v="0"/>
    <x v="0"/>
    <n v="1"/>
  </r>
  <r>
    <n v="13"/>
    <s v="15/01/2025"/>
    <x v="1"/>
    <x v="3"/>
    <x v="12"/>
    <x v="1"/>
    <n v="102"/>
    <n v="6"/>
    <x v="0"/>
    <s v="1º Semestre"/>
    <x v="0"/>
    <x v="0"/>
    <n v="1"/>
  </r>
  <r>
    <n v="14"/>
    <s v="17/01/2025"/>
    <x v="3"/>
    <x v="0"/>
    <x v="0"/>
    <x v="0"/>
    <n v="28"/>
    <n v="5"/>
    <x v="4"/>
    <s v="1º Semestre"/>
    <x v="0"/>
    <x v="0"/>
    <n v="1"/>
  </r>
  <r>
    <n v="15"/>
    <s v="20/01/2025"/>
    <x v="4"/>
    <x v="5"/>
    <x v="6"/>
    <x v="2"/>
    <n v="30"/>
    <n v="8"/>
    <x v="4"/>
    <s v="1º Semestre"/>
    <x v="0"/>
    <x v="0"/>
    <n v="1"/>
  </r>
  <r>
    <n v="16"/>
    <s v="22/01/2025"/>
    <x v="0"/>
    <x v="1"/>
    <x v="13"/>
    <x v="0"/>
    <n v="105"/>
    <n v="4"/>
    <x v="4"/>
    <s v="1º Semestre"/>
    <x v="0"/>
    <x v="0"/>
    <n v="1"/>
  </r>
  <r>
    <n v="17"/>
    <s v="24/01/2025"/>
    <x v="1"/>
    <x v="2"/>
    <x v="2"/>
    <x v="1"/>
    <n v="95"/>
    <n v="10"/>
    <x v="1"/>
    <s v="1º Semestre"/>
    <x v="0"/>
    <x v="0"/>
    <n v="1"/>
  </r>
  <r>
    <n v="18"/>
    <s v="27/01/2025"/>
    <x v="2"/>
    <x v="3"/>
    <x v="3"/>
    <x v="1"/>
    <n v="50"/>
    <n v="8"/>
    <x v="5"/>
    <s v="1º Semestre"/>
    <x v="0"/>
    <x v="0"/>
    <n v="1"/>
  </r>
  <r>
    <n v="19"/>
    <s v="29/01/2025"/>
    <x v="0"/>
    <x v="0"/>
    <x v="5"/>
    <x v="0"/>
    <n v="127"/>
    <n v="3"/>
    <x v="1"/>
    <s v="1º Semestre"/>
    <x v="0"/>
    <x v="0"/>
    <n v="1"/>
  </r>
  <r>
    <n v="20"/>
    <s v="31/01/2025"/>
    <x v="3"/>
    <x v="4"/>
    <x v="4"/>
    <x v="0"/>
    <n v="28"/>
    <n v="2"/>
    <x v="1"/>
    <s v="1º Semestre"/>
    <x v="0"/>
    <x v="0"/>
    <n v="1"/>
  </r>
  <r>
    <n v="21"/>
    <s v="03/02/2025"/>
    <x v="0"/>
    <x v="0"/>
    <x v="0"/>
    <x v="0"/>
    <n v="111"/>
    <n v="6"/>
    <x v="0"/>
    <s v="1º Semestre"/>
    <x v="0"/>
    <x v="1"/>
    <n v="2"/>
  </r>
  <r>
    <n v="22"/>
    <s v="04/02/2025"/>
    <x v="1"/>
    <x v="2"/>
    <x v="2"/>
    <x v="1"/>
    <n v="103"/>
    <n v="8"/>
    <x v="2"/>
    <s v="1º Semestre"/>
    <x v="0"/>
    <x v="1"/>
    <n v="2"/>
  </r>
  <r>
    <n v="23"/>
    <s v="05/02/2025"/>
    <x v="2"/>
    <x v="3"/>
    <x v="3"/>
    <x v="1"/>
    <n v="42"/>
    <n v="7"/>
    <x v="3"/>
    <s v="1º Semestre"/>
    <x v="0"/>
    <x v="1"/>
    <n v="2"/>
  </r>
  <r>
    <n v="24"/>
    <s v="06/02/2025"/>
    <x v="3"/>
    <x v="4"/>
    <x v="4"/>
    <x v="0"/>
    <n v="29"/>
    <n v="2"/>
    <x v="1"/>
    <s v="1º Semestre"/>
    <x v="0"/>
    <x v="1"/>
    <n v="2"/>
  </r>
  <r>
    <n v="25"/>
    <s v="07/02/2025"/>
    <x v="0"/>
    <x v="1"/>
    <x v="1"/>
    <x v="0"/>
    <n v="123"/>
    <n v="3"/>
    <x v="1"/>
    <s v="1º Semestre"/>
    <x v="0"/>
    <x v="1"/>
    <n v="2"/>
  </r>
  <r>
    <n v="26"/>
    <s v="10/02/2025"/>
    <x v="4"/>
    <x v="5"/>
    <x v="6"/>
    <x v="2"/>
    <n v="30"/>
    <n v="6"/>
    <x v="1"/>
    <s v="1º Semestre"/>
    <x v="0"/>
    <x v="1"/>
    <n v="2"/>
  </r>
  <r>
    <n v="27"/>
    <s v="11/02/2025"/>
    <x v="1"/>
    <x v="6"/>
    <x v="7"/>
    <x v="3"/>
    <n v="103"/>
    <n v="1"/>
    <x v="2"/>
    <s v="1º Semestre"/>
    <x v="0"/>
    <x v="1"/>
    <n v="2"/>
  </r>
  <r>
    <n v="28"/>
    <s v="13/02/2025"/>
    <x v="0"/>
    <x v="7"/>
    <x v="8"/>
    <x v="1"/>
    <n v="102"/>
    <n v="4"/>
    <x v="4"/>
    <s v="1º Semestre"/>
    <x v="0"/>
    <x v="1"/>
    <n v="2"/>
  </r>
  <r>
    <n v="29"/>
    <s v="14/02/2025"/>
    <x v="3"/>
    <x v="0"/>
    <x v="5"/>
    <x v="0"/>
    <n v="28"/>
    <n v="4"/>
    <x v="1"/>
    <s v="1º Semestre"/>
    <x v="0"/>
    <x v="1"/>
    <n v="2"/>
  </r>
  <r>
    <n v="30"/>
    <s v="17/02/2025"/>
    <x v="2"/>
    <x v="2"/>
    <x v="10"/>
    <x v="2"/>
    <n v="41"/>
    <n v="10"/>
    <x v="2"/>
    <s v="1º Semestre"/>
    <x v="0"/>
    <x v="1"/>
    <n v="2"/>
  </r>
  <r>
    <n v="31"/>
    <s v="19/02/2025"/>
    <x v="0"/>
    <x v="8"/>
    <x v="11"/>
    <x v="1"/>
    <n v="130"/>
    <n v="6"/>
    <x v="0"/>
    <s v="1º Semestre"/>
    <x v="0"/>
    <x v="1"/>
    <n v="2"/>
  </r>
  <r>
    <n v="32"/>
    <s v="20/02/2025"/>
    <x v="1"/>
    <x v="3"/>
    <x v="12"/>
    <x v="1"/>
    <n v="105"/>
    <n v="5"/>
    <x v="4"/>
    <s v="1º Semestre"/>
    <x v="0"/>
    <x v="1"/>
    <n v="2"/>
  </r>
  <r>
    <n v="33"/>
    <s v="21/02/2025"/>
    <x v="4"/>
    <x v="5"/>
    <x v="6"/>
    <x v="2"/>
    <n v="30"/>
    <n v="7"/>
    <x v="4"/>
    <s v="1º Semestre"/>
    <x v="0"/>
    <x v="1"/>
    <n v="2"/>
  </r>
  <r>
    <n v="34"/>
    <s v="24/02/2025"/>
    <x v="0"/>
    <x v="1"/>
    <x v="13"/>
    <x v="0"/>
    <n v="115"/>
    <n v="3"/>
    <x v="1"/>
    <s v="1º Semestre"/>
    <x v="0"/>
    <x v="1"/>
    <n v="2"/>
  </r>
  <r>
    <n v="35"/>
    <s v="26/02/2025"/>
    <x v="3"/>
    <x v="4"/>
    <x v="9"/>
    <x v="0"/>
    <n v="30"/>
    <n v="2"/>
    <x v="1"/>
    <s v="1º Semestre"/>
    <x v="0"/>
    <x v="1"/>
    <n v="2"/>
  </r>
  <r>
    <n v="36"/>
    <s v="28/02/2025"/>
    <x v="1"/>
    <x v="2"/>
    <x v="2"/>
    <x v="1"/>
    <n v="102"/>
    <n v="9"/>
    <x v="1"/>
    <s v="1º Semestre"/>
    <x v="0"/>
    <x v="1"/>
    <n v="2"/>
  </r>
  <r>
    <n v="37"/>
    <s v="03/03/2025"/>
    <x v="0"/>
    <x v="0"/>
    <x v="0"/>
    <x v="0"/>
    <n v="107"/>
    <n v="5"/>
    <x v="4"/>
    <s v="1º Semestre"/>
    <x v="0"/>
    <x v="2"/>
    <n v="3"/>
  </r>
  <r>
    <n v="38"/>
    <s v="04/03/2025"/>
    <x v="1"/>
    <x v="2"/>
    <x v="2"/>
    <x v="1"/>
    <n v="102"/>
    <n v="7"/>
    <x v="2"/>
    <s v="1º Semestre"/>
    <x v="0"/>
    <x v="2"/>
    <n v="3"/>
  </r>
  <r>
    <n v="39"/>
    <s v="05/03/2025"/>
    <x v="2"/>
    <x v="3"/>
    <x v="3"/>
    <x v="1"/>
    <n v="42"/>
    <n v="6"/>
    <x v="0"/>
    <s v="1º Semestre"/>
    <x v="0"/>
    <x v="2"/>
    <n v="3"/>
  </r>
  <r>
    <n v="40"/>
    <s v="06/03/2025"/>
    <x v="3"/>
    <x v="4"/>
    <x v="4"/>
    <x v="0"/>
    <n v="30"/>
    <n v="2"/>
    <x v="1"/>
    <s v="1º Semestre"/>
    <x v="0"/>
    <x v="2"/>
    <n v="3"/>
  </r>
  <r>
    <n v="41"/>
    <s v="07/03/2025"/>
    <x v="0"/>
    <x v="1"/>
    <x v="1"/>
    <x v="0"/>
    <n v="119"/>
    <n v="2"/>
    <x v="2"/>
    <s v="1º Semestre"/>
    <x v="0"/>
    <x v="2"/>
    <n v="3"/>
  </r>
  <r>
    <n v="42"/>
    <s v="10/03/2025"/>
    <x v="4"/>
    <x v="5"/>
    <x v="6"/>
    <x v="2"/>
    <n v="30"/>
    <n v="5"/>
    <x v="2"/>
    <s v="1º Semestre"/>
    <x v="0"/>
    <x v="2"/>
    <n v="3"/>
  </r>
  <r>
    <n v="43"/>
    <s v="11/03/2025"/>
    <x v="0"/>
    <x v="7"/>
    <x v="8"/>
    <x v="1"/>
    <n v="115"/>
    <n v="4"/>
    <x v="4"/>
    <s v="1º Semestre"/>
    <x v="0"/>
    <x v="2"/>
    <n v="3"/>
  </r>
  <r>
    <n v="44"/>
    <s v="13/03/2025"/>
    <x v="3"/>
    <x v="0"/>
    <x v="5"/>
    <x v="0"/>
    <n v="30"/>
    <n v="3"/>
    <x v="1"/>
    <s v="1º Semestre"/>
    <x v="0"/>
    <x v="2"/>
    <n v="3"/>
  </r>
  <r>
    <n v="45"/>
    <s v="14/03/2025"/>
    <x v="2"/>
    <x v="2"/>
    <x v="10"/>
    <x v="2"/>
    <n v="41"/>
    <n v="9"/>
    <x v="2"/>
    <s v="1º Semestre"/>
    <x v="0"/>
    <x v="2"/>
    <n v="3"/>
  </r>
  <r>
    <n v="46"/>
    <s v="17/03/2025"/>
    <x v="0"/>
    <x v="8"/>
    <x v="11"/>
    <x v="1"/>
    <n v="113"/>
    <n v="5"/>
    <x v="4"/>
    <s v="1º Semestre"/>
    <x v="0"/>
    <x v="2"/>
    <n v="3"/>
  </r>
  <r>
    <n v="47"/>
    <s v="18/03/2025"/>
    <x v="1"/>
    <x v="3"/>
    <x v="12"/>
    <x v="1"/>
    <n v="100"/>
    <n v="5"/>
    <x v="4"/>
    <s v="1º Semestre"/>
    <x v="0"/>
    <x v="2"/>
    <n v="3"/>
  </r>
  <r>
    <n v="48"/>
    <s v="19/03/2025"/>
    <x v="4"/>
    <x v="5"/>
    <x v="6"/>
    <x v="2"/>
    <n v="30"/>
    <n v="6"/>
    <x v="1"/>
    <s v="1º Semestre"/>
    <x v="0"/>
    <x v="2"/>
    <n v="3"/>
  </r>
  <r>
    <n v="49"/>
    <s v="20/03/2025"/>
    <x v="0"/>
    <x v="1"/>
    <x v="13"/>
    <x v="0"/>
    <n v="127"/>
    <n v="2"/>
    <x v="1"/>
    <s v="1º Semestre"/>
    <x v="0"/>
    <x v="2"/>
    <n v="3"/>
  </r>
  <r>
    <n v="50"/>
    <s v="21/03/2025"/>
    <x v="3"/>
    <x v="4"/>
    <x v="9"/>
    <x v="0"/>
    <n v="30"/>
    <n v="2"/>
    <x v="2"/>
    <s v="1º Semestre"/>
    <x v="0"/>
    <x v="2"/>
    <n v="3"/>
  </r>
  <r>
    <n v="51"/>
    <s v="24/03/2025"/>
    <x v="1"/>
    <x v="2"/>
    <x v="2"/>
    <x v="1"/>
    <n v="96"/>
    <n v="7"/>
    <x v="2"/>
    <s v="1º Semestre"/>
    <x v="0"/>
    <x v="2"/>
    <n v="3"/>
  </r>
  <r>
    <n v="52"/>
    <s v="25/03/2025"/>
    <x v="0"/>
    <x v="0"/>
    <x v="0"/>
    <x v="0"/>
    <n v="105"/>
    <n v="4"/>
    <x v="1"/>
    <s v="1º Semestre"/>
    <x v="0"/>
    <x v="2"/>
    <n v="3"/>
  </r>
  <r>
    <n v="53"/>
    <s v="26/03/2025"/>
    <x v="2"/>
    <x v="3"/>
    <x v="3"/>
    <x v="1"/>
    <n v="42"/>
    <n v="5"/>
    <x v="4"/>
    <s v="1º Semestre"/>
    <x v="0"/>
    <x v="2"/>
    <n v="3"/>
  </r>
  <r>
    <n v="54"/>
    <s v="27/03/2025"/>
    <x v="0"/>
    <x v="6"/>
    <x v="7"/>
    <x v="3"/>
    <n v="121"/>
    <n v="1"/>
    <x v="2"/>
    <s v="1º Semestre"/>
    <x v="0"/>
    <x v="2"/>
    <n v="3"/>
  </r>
  <r>
    <n v="55"/>
    <s v="28/03/2025"/>
    <x v="3"/>
    <x v="0"/>
    <x v="5"/>
    <x v="0"/>
    <n v="26"/>
    <n v="3"/>
    <x v="1"/>
    <s v="1º Semestre"/>
    <x v="0"/>
    <x v="2"/>
    <n v="3"/>
  </r>
  <r>
    <n v="56"/>
    <s v="28/03/2025"/>
    <x v="0"/>
    <x v="2"/>
    <x v="2"/>
    <x v="1"/>
    <n v="109"/>
    <n v="6"/>
    <x v="2"/>
    <s v="1º Semestre"/>
    <x v="0"/>
    <x v="2"/>
    <n v="3"/>
  </r>
  <r>
    <n v="57"/>
    <s v="29/03/2025"/>
    <x v="4"/>
    <x v="5"/>
    <x v="6"/>
    <x v="2"/>
    <n v="30"/>
    <n v="5"/>
    <x v="4"/>
    <s v="1º Semestre"/>
    <x v="0"/>
    <x v="2"/>
    <n v="3"/>
  </r>
  <r>
    <n v="58"/>
    <s v="30/03/2025"/>
    <x v="1"/>
    <x v="7"/>
    <x v="8"/>
    <x v="1"/>
    <n v="94"/>
    <n v="3"/>
    <x v="1"/>
    <s v="1º Semestre"/>
    <x v="0"/>
    <x v="2"/>
    <n v="3"/>
  </r>
  <r>
    <n v="59"/>
    <s v="31/03/2025"/>
    <x v="0"/>
    <x v="8"/>
    <x v="11"/>
    <x v="1"/>
    <n v="130"/>
    <n v="4"/>
    <x v="4"/>
    <s v="1º Semestre"/>
    <x v="0"/>
    <x v="2"/>
    <n v="3"/>
  </r>
  <r>
    <n v="60"/>
    <s v="31/03/2025"/>
    <x v="2"/>
    <x v="2"/>
    <x v="10"/>
    <x v="2"/>
    <n v="42"/>
    <n v="8"/>
    <x v="2"/>
    <s v="1º Semestre"/>
    <x v="0"/>
    <x v="2"/>
    <n v="3"/>
  </r>
  <r>
    <n v="61"/>
    <d v="2025-04-02T00:00:00"/>
    <x v="0"/>
    <x v="0"/>
    <x v="0"/>
    <x v="0"/>
    <n v="115"/>
    <n v="4"/>
    <x v="1"/>
    <s v="1º Semestre"/>
    <x v="1"/>
    <x v="3"/>
    <n v="4"/>
  </r>
  <r>
    <n v="62"/>
    <d v="2025-04-03T00:00:00"/>
    <x v="1"/>
    <x v="2"/>
    <x v="2"/>
    <x v="1"/>
    <n v="96"/>
    <n v="7"/>
    <x v="2"/>
    <s v="1º Semestre"/>
    <x v="1"/>
    <x v="3"/>
    <n v="4"/>
  </r>
  <r>
    <n v="63"/>
    <d v="2025-04-04T00:00:00"/>
    <x v="2"/>
    <x v="3"/>
    <x v="3"/>
    <x v="1"/>
    <n v="42"/>
    <n v="5"/>
    <x v="4"/>
    <s v="1º Semestre"/>
    <x v="1"/>
    <x v="3"/>
    <n v="4"/>
  </r>
  <r>
    <n v="64"/>
    <d v="2025-04-07T00:00:00"/>
    <x v="3"/>
    <x v="4"/>
    <x v="4"/>
    <x v="0"/>
    <n v="26"/>
    <n v="2"/>
    <x v="2"/>
    <s v="1º Semestre"/>
    <x v="1"/>
    <x v="3"/>
    <n v="4"/>
  </r>
  <r>
    <n v="65"/>
    <d v="2025-04-08T00:00:00"/>
    <x v="0"/>
    <x v="1"/>
    <x v="1"/>
    <x v="0"/>
    <n v="123"/>
    <n v="2"/>
    <x v="2"/>
    <s v="1º Semestre"/>
    <x v="1"/>
    <x v="3"/>
    <n v="4"/>
  </r>
  <r>
    <n v="66"/>
    <d v="2025-04-09T00:00:00"/>
    <x v="4"/>
    <x v="5"/>
    <x v="6"/>
    <x v="2"/>
    <n v="30"/>
    <n v="5"/>
    <x v="2"/>
    <s v="1º Semestre"/>
    <x v="1"/>
    <x v="3"/>
    <n v="4"/>
  </r>
  <r>
    <n v="67"/>
    <d v="2025-04-10T00:00:00"/>
    <x v="0"/>
    <x v="7"/>
    <x v="8"/>
    <x v="1"/>
    <n v="102"/>
    <n v="3"/>
    <x v="1"/>
    <s v="1º Semestre"/>
    <x v="1"/>
    <x v="3"/>
    <n v="4"/>
  </r>
  <r>
    <n v="68"/>
    <d v="2025-04-11T00:00:00"/>
    <x v="3"/>
    <x v="0"/>
    <x v="5"/>
    <x v="0"/>
    <n v="26"/>
    <n v="3"/>
    <x v="2"/>
    <s v="1º Semestre"/>
    <x v="1"/>
    <x v="3"/>
    <n v="4"/>
  </r>
  <r>
    <n v="69"/>
    <d v="2025-04-14T00:00:00"/>
    <x v="2"/>
    <x v="2"/>
    <x v="10"/>
    <x v="2"/>
    <n v="40"/>
    <n v="8"/>
    <x v="2"/>
    <s v="1º Semestre"/>
    <x v="1"/>
    <x v="3"/>
    <n v="4"/>
  </r>
  <r>
    <n v="70"/>
    <d v="2025-04-15T00:00:00"/>
    <x v="0"/>
    <x v="8"/>
    <x v="11"/>
    <x v="1"/>
    <n v="117"/>
    <n v="4"/>
    <x v="4"/>
    <s v="1º Semestre"/>
    <x v="1"/>
    <x v="3"/>
    <n v="4"/>
  </r>
  <r>
    <n v="71"/>
    <d v="2025-04-16T00:00:00"/>
    <x v="1"/>
    <x v="3"/>
    <x v="12"/>
    <x v="1"/>
    <n v="93"/>
    <n v="4"/>
    <x v="1"/>
    <s v="1º Semestre"/>
    <x v="1"/>
    <x v="3"/>
    <n v="4"/>
  </r>
  <r>
    <n v="72"/>
    <d v="2025-04-17T00:00:00"/>
    <x v="4"/>
    <x v="5"/>
    <x v="6"/>
    <x v="2"/>
    <n v="25"/>
    <n v="5"/>
    <x v="0"/>
    <s v="1º Semestre"/>
    <x v="1"/>
    <x v="3"/>
    <n v="4"/>
  </r>
  <r>
    <n v="73"/>
    <d v="2025-04-22T00:00:00"/>
    <x v="0"/>
    <x v="1"/>
    <x v="13"/>
    <x v="0"/>
    <n v="126"/>
    <n v="2"/>
    <x v="2"/>
    <s v="1º Semestre"/>
    <x v="1"/>
    <x v="3"/>
    <n v="4"/>
  </r>
  <r>
    <n v="74"/>
    <d v="2025-04-23T00:00:00"/>
    <x v="3"/>
    <x v="4"/>
    <x v="9"/>
    <x v="0"/>
    <n v="26"/>
    <n v="2"/>
    <x v="2"/>
    <s v="1º Semestre"/>
    <x v="1"/>
    <x v="3"/>
    <n v="4"/>
  </r>
  <r>
    <n v="75"/>
    <d v="2025-04-24T00:00:00"/>
    <x v="1"/>
    <x v="2"/>
    <x v="2"/>
    <x v="1"/>
    <n v="78"/>
    <n v="6"/>
    <x v="2"/>
    <s v="1º Semestre"/>
    <x v="1"/>
    <x v="3"/>
    <n v="4"/>
  </r>
  <r>
    <n v="76"/>
    <d v="2025-04-25T00:00:00"/>
    <x v="0"/>
    <x v="0"/>
    <x v="0"/>
    <x v="0"/>
    <n v="111"/>
    <n v="3"/>
    <x v="1"/>
    <s v="1º Semestre"/>
    <x v="1"/>
    <x v="3"/>
    <n v="4"/>
  </r>
  <r>
    <n v="77"/>
    <d v="2025-04-28T00:00:00"/>
    <x v="2"/>
    <x v="3"/>
    <x v="3"/>
    <x v="1"/>
    <n v="40"/>
    <n v="5"/>
    <x v="4"/>
    <s v="1º Semestre"/>
    <x v="1"/>
    <x v="3"/>
    <n v="4"/>
  </r>
  <r>
    <n v="78"/>
    <d v="2025-04-29T00:00:00"/>
    <x v="0"/>
    <x v="6"/>
    <x v="7"/>
    <x v="3"/>
    <n v="107"/>
    <n v="1"/>
    <x v="6"/>
    <s v="1º Semestre"/>
    <x v="1"/>
    <x v="3"/>
    <n v="4"/>
  </r>
  <r>
    <n v="79"/>
    <d v="2025-04-29T00:00:00"/>
    <x v="3"/>
    <x v="0"/>
    <x v="5"/>
    <x v="0"/>
    <n v="20"/>
    <n v="2"/>
    <x v="2"/>
    <s v="1º Semestre"/>
    <x v="1"/>
    <x v="3"/>
    <n v="4"/>
  </r>
  <r>
    <n v="80"/>
    <d v="2025-04-30T00:00:00"/>
    <x v="2"/>
    <x v="2"/>
    <x v="10"/>
    <x v="2"/>
    <n v="44"/>
    <n v="7"/>
    <x v="2"/>
    <s v="1º Semestre"/>
    <x v="1"/>
    <x v="3"/>
    <n v="4"/>
  </r>
  <r>
    <n v="81"/>
    <d v="2025-05-02T00:00:00"/>
    <x v="0"/>
    <x v="0"/>
    <x v="0"/>
    <x v="0"/>
    <n v="119"/>
    <n v="3"/>
    <x v="1"/>
    <s v="1º Semestre"/>
    <x v="1"/>
    <x v="4"/>
    <n v="5"/>
  </r>
  <r>
    <n v="82"/>
    <d v="2025-05-05T00:00:00"/>
    <x v="1"/>
    <x v="2"/>
    <x v="2"/>
    <x v="1"/>
    <n v="81"/>
    <n v="6"/>
    <x v="6"/>
    <s v="1º Semestre"/>
    <x v="1"/>
    <x v="4"/>
    <n v="5"/>
  </r>
  <r>
    <n v="83"/>
    <d v="2025-05-06T00:00:00"/>
    <x v="2"/>
    <x v="3"/>
    <x v="3"/>
    <x v="1"/>
    <n v="42"/>
    <n v="5"/>
    <x v="4"/>
    <s v="1º Semestre"/>
    <x v="1"/>
    <x v="4"/>
    <n v="5"/>
  </r>
  <r>
    <n v="84"/>
    <d v="2025-05-07T00:00:00"/>
    <x v="3"/>
    <x v="4"/>
    <x v="4"/>
    <x v="0"/>
    <n v="20"/>
    <n v="2"/>
    <x v="2"/>
    <s v="1º Semestre"/>
    <x v="1"/>
    <x v="4"/>
    <n v="5"/>
  </r>
  <r>
    <n v="85"/>
    <d v="2025-05-08T00:00:00"/>
    <x v="0"/>
    <x v="1"/>
    <x v="1"/>
    <x v="0"/>
    <n v="100"/>
    <n v="2"/>
    <x v="2"/>
    <s v="1º Semestre"/>
    <x v="1"/>
    <x v="4"/>
    <n v="5"/>
  </r>
  <r>
    <n v="86"/>
    <d v="2025-05-09T00:00:00"/>
    <x v="4"/>
    <x v="5"/>
    <x v="6"/>
    <x v="2"/>
    <n v="25"/>
    <n v="6"/>
    <x v="6"/>
    <s v="1º Semestre"/>
    <x v="1"/>
    <x v="4"/>
    <n v="5"/>
  </r>
  <r>
    <n v="87"/>
    <d v="2025-05-12T00:00:00"/>
    <x v="0"/>
    <x v="7"/>
    <x v="8"/>
    <x v="1"/>
    <n v="123"/>
    <n v="3"/>
    <x v="1"/>
    <s v="1º Semestre"/>
    <x v="1"/>
    <x v="4"/>
    <n v="5"/>
  </r>
  <r>
    <n v="88"/>
    <d v="2025-05-13T00:00:00"/>
    <x v="3"/>
    <x v="0"/>
    <x v="5"/>
    <x v="0"/>
    <n v="20"/>
    <n v="2"/>
    <x v="2"/>
    <s v="1º Semestre"/>
    <x v="1"/>
    <x v="4"/>
    <n v="5"/>
  </r>
  <r>
    <n v="89"/>
    <d v="2025-05-14T00:00:00"/>
    <x v="2"/>
    <x v="2"/>
    <x v="10"/>
    <x v="2"/>
    <n v="40"/>
    <n v="7"/>
    <x v="2"/>
    <s v="1º Semestre"/>
    <x v="1"/>
    <x v="4"/>
    <n v="5"/>
  </r>
  <r>
    <n v="90"/>
    <d v="2025-05-15T00:00:00"/>
    <x v="0"/>
    <x v="8"/>
    <x v="11"/>
    <x v="1"/>
    <n v="109"/>
    <n v="4"/>
    <x v="4"/>
    <s v="1º Semestre"/>
    <x v="1"/>
    <x v="4"/>
    <n v="5"/>
  </r>
  <r>
    <n v="91"/>
    <d v="2025-05-16T00:00:00"/>
    <x v="1"/>
    <x v="3"/>
    <x v="12"/>
    <x v="1"/>
    <n v="84"/>
    <n v="4"/>
    <x v="1"/>
    <s v="1º Semestre"/>
    <x v="1"/>
    <x v="4"/>
    <n v="5"/>
  </r>
  <r>
    <n v="92"/>
    <d v="2025-05-19T00:00:00"/>
    <x v="4"/>
    <x v="5"/>
    <x v="6"/>
    <x v="2"/>
    <n v="25"/>
    <n v="6"/>
    <x v="2"/>
    <s v="1º Semestre"/>
    <x v="1"/>
    <x v="4"/>
    <n v="5"/>
  </r>
  <r>
    <n v="93"/>
    <d v="2025-05-20T00:00:00"/>
    <x v="0"/>
    <x v="1"/>
    <x v="13"/>
    <x v="0"/>
    <n v="125"/>
    <n v="2"/>
    <x v="2"/>
    <s v="1º Semestre"/>
    <x v="1"/>
    <x v="4"/>
    <n v="5"/>
  </r>
  <r>
    <n v="94"/>
    <d v="2025-05-21T00:00:00"/>
    <x v="3"/>
    <x v="4"/>
    <x v="9"/>
    <x v="0"/>
    <n v="20"/>
    <n v="2"/>
    <x v="2"/>
    <s v="1º Semestre"/>
    <x v="1"/>
    <x v="4"/>
    <n v="5"/>
  </r>
  <r>
    <n v="95"/>
    <d v="2025-05-22T00:00:00"/>
    <x v="1"/>
    <x v="2"/>
    <x v="2"/>
    <x v="1"/>
    <n v="86"/>
    <n v="6"/>
    <x v="2"/>
    <s v="1º Semestre"/>
    <x v="1"/>
    <x v="4"/>
    <n v="5"/>
  </r>
  <r>
    <n v="96"/>
    <d v="2025-05-23T00:00:00"/>
    <x v="0"/>
    <x v="0"/>
    <x v="0"/>
    <x v="0"/>
    <n v="130"/>
    <n v="3"/>
    <x v="1"/>
    <s v="1º Semestre"/>
    <x v="1"/>
    <x v="4"/>
    <n v="5"/>
  </r>
  <r>
    <n v="97"/>
    <d v="2025-05-26T00:00:00"/>
    <x v="2"/>
    <x v="3"/>
    <x v="3"/>
    <x v="1"/>
    <n v="40"/>
    <n v="4"/>
    <x v="4"/>
    <s v="1º Semestre"/>
    <x v="1"/>
    <x v="4"/>
    <n v="5"/>
  </r>
  <r>
    <n v="98"/>
    <d v="2025-05-27T00:00:00"/>
    <x v="0"/>
    <x v="6"/>
    <x v="7"/>
    <x v="3"/>
    <n v="111"/>
    <n v="1"/>
    <x v="2"/>
    <s v="1º Semestre"/>
    <x v="1"/>
    <x v="4"/>
    <n v="5"/>
  </r>
  <r>
    <n v="99"/>
    <d v="2025-05-28T00:00:00"/>
    <x v="3"/>
    <x v="0"/>
    <x v="5"/>
    <x v="0"/>
    <n v="20"/>
    <n v="2"/>
    <x v="2"/>
    <s v="1º Semestre"/>
    <x v="1"/>
    <x v="4"/>
    <n v="5"/>
  </r>
  <r>
    <n v="100"/>
    <d v="2025-05-30T00:00:00"/>
    <x v="2"/>
    <x v="2"/>
    <x v="10"/>
    <x v="2"/>
    <n v="44"/>
    <n v="6"/>
    <x v="2"/>
    <s v="1º Semestre"/>
    <x v="1"/>
    <x v="4"/>
    <n v="5"/>
  </r>
  <r>
    <n v="101"/>
    <d v="2025-06-02T00:00:00"/>
    <x v="0"/>
    <x v="0"/>
    <x v="0"/>
    <x v="0"/>
    <n v="122"/>
    <n v="2"/>
    <x v="2"/>
    <s v="1º Semestre"/>
    <x v="1"/>
    <x v="5"/>
    <n v="6"/>
  </r>
  <r>
    <n v="102"/>
    <d v="2025-06-03T00:00:00"/>
    <x v="1"/>
    <x v="2"/>
    <x v="2"/>
    <x v="1"/>
    <n v="89"/>
    <n v="5"/>
    <x v="2"/>
    <s v="1º Semestre"/>
    <x v="1"/>
    <x v="5"/>
    <n v="6"/>
  </r>
  <r>
    <n v="103"/>
    <d v="2025-06-04T00:00:00"/>
    <x v="2"/>
    <x v="3"/>
    <x v="3"/>
    <x v="1"/>
    <n v="50"/>
    <n v="4"/>
    <x v="1"/>
    <s v="1º Semestre"/>
    <x v="1"/>
    <x v="5"/>
    <n v="6"/>
  </r>
  <r>
    <n v="104"/>
    <d v="2025-06-05T00:00:00"/>
    <x v="3"/>
    <x v="4"/>
    <x v="4"/>
    <x v="0"/>
    <n v="30"/>
    <n v="1"/>
    <x v="2"/>
    <s v="1º Semestre"/>
    <x v="1"/>
    <x v="5"/>
    <n v="6"/>
  </r>
  <r>
    <n v="105"/>
    <d v="2025-06-06T00:00:00"/>
    <x v="0"/>
    <x v="1"/>
    <x v="1"/>
    <x v="0"/>
    <n v="110"/>
    <n v="2"/>
    <x v="2"/>
    <s v="1º Semestre"/>
    <x v="1"/>
    <x v="5"/>
    <n v="6"/>
  </r>
  <r>
    <n v="106"/>
    <d v="2025-06-09T00:00:00"/>
    <x v="4"/>
    <x v="5"/>
    <x v="6"/>
    <x v="2"/>
    <n v="25"/>
    <n v="5"/>
    <x v="6"/>
    <s v="1º Semestre"/>
    <x v="1"/>
    <x v="5"/>
    <n v="6"/>
  </r>
  <r>
    <n v="107"/>
    <d v="2025-06-10T00:00:00"/>
    <x v="0"/>
    <x v="7"/>
    <x v="8"/>
    <x v="1"/>
    <n v="110"/>
    <n v="2"/>
    <x v="2"/>
    <s v="1º Semestre"/>
    <x v="1"/>
    <x v="5"/>
    <n v="6"/>
  </r>
  <r>
    <n v="108"/>
    <d v="2025-06-11T00:00:00"/>
    <x v="3"/>
    <x v="0"/>
    <x v="5"/>
    <x v="0"/>
    <n v="30"/>
    <n v="2"/>
    <x v="2"/>
    <s v="1º Semestre"/>
    <x v="1"/>
    <x v="5"/>
    <n v="6"/>
  </r>
  <r>
    <n v="109"/>
    <d v="2025-06-12T00:00:00"/>
    <x v="2"/>
    <x v="2"/>
    <x v="10"/>
    <x v="2"/>
    <n v="50"/>
    <n v="6"/>
    <x v="2"/>
    <s v="1º Semestre"/>
    <x v="1"/>
    <x v="5"/>
    <n v="6"/>
  </r>
  <r>
    <n v="110"/>
    <d v="2025-06-13T00:00:00"/>
    <x v="0"/>
    <x v="8"/>
    <x v="11"/>
    <x v="1"/>
    <n v="109"/>
    <n v="3"/>
    <x v="1"/>
    <s v="1º Semestre"/>
    <x v="1"/>
    <x v="5"/>
    <n v="6"/>
  </r>
  <r>
    <n v="111"/>
    <d v="2025-06-16T00:00:00"/>
    <x v="1"/>
    <x v="3"/>
    <x v="12"/>
    <x v="1"/>
    <n v="85"/>
    <n v="3"/>
    <x v="1"/>
    <s v="1º Semestre"/>
    <x v="1"/>
    <x v="5"/>
    <n v="6"/>
  </r>
  <r>
    <n v="112"/>
    <d v="2025-06-17T00:00:00"/>
    <x v="4"/>
    <x v="5"/>
    <x v="6"/>
    <x v="2"/>
    <n v="25"/>
    <n v="5"/>
    <x v="1"/>
    <s v="1º Semestre"/>
    <x v="1"/>
    <x v="5"/>
    <n v="6"/>
  </r>
  <r>
    <n v="113"/>
    <d v="2025-06-18T00:00:00"/>
    <x v="0"/>
    <x v="1"/>
    <x v="13"/>
    <x v="0"/>
    <n v="115"/>
    <n v="2"/>
    <x v="2"/>
    <s v="1º Semestre"/>
    <x v="1"/>
    <x v="5"/>
    <n v="6"/>
  </r>
  <r>
    <n v="114"/>
    <d v="2025-06-20T00:00:00"/>
    <x v="3"/>
    <x v="4"/>
    <x v="9"/>
    <x v="0"/>
    <n v="30"/>
    <n v="1"/>
    <x v="2"/>
    <s v="1º Semestre"/>
    <x v="1"/>
    <x v="5"/>
    <n v="6"/>
  </r>
  <r>
    <n v="115"/>
    <d v="2025-06-23T00:00:00"/>
    <x v="1"/>
    <x v="2"/>
    <x v="2"/>
    <x v="1"/>
    <n v="80"/>
    <n v="5"/>
    <x v="2"/>
    <s v="1º Semestre"/>
    <x v="1"/>
    <x v="5"/>
    <n v="6"/>
  </r>
  <r>
    <n v="116"/>
    <d v="2025-06-24T00:00:00"/>
    <x v="0"/>
    <x v="0"/>
    <x v="0"/>
    <x v="0"/>
    <n v="115"/>
    <n v="2"/>
    <x v="2"/>
    <s v="1º Semestre"/>
    <x v="1"/>
    <x v="5"/>
    <n v="6"/>
  </r>
  <r>
    <n v="117"/>
    <d v="2025-06-25T00:00:00"/>
    <x v="2"/>
    <x v="3"/>
    <x v="3"/>
    <x v="1"/>
    <n v="50"/>
    <n v="4"/>
    <x v="1"/>
    <s v="1º Semestre"/>
    <x v="1"/>
    <x v="5"/>
    <n v="6"/>
  </r>
  <r>
    <n v="118"/>
    <d v="2025-06-26T00:00:00"/>
    <x v="0"/>
    <x v="6"/>
    <x v="7"/>
    <x v="3"/>
    <n v="109"/>
    <n v="1"/>
    <x v="2"/>
    <s v="1º Semestre"/>
    <x v="1"/>
    <x v="5"/>
    <n v="6"/>
  </r>
  <r>
    <n v="119"/>
    <d v="2025-06-27T00:00:00"/>
    <x v="3"/>
    <x v="0"/>
    <x v="5"/>
    <x v="0"/>
    <n v="30"/>
    <n v="2"/>
    <x v="2"/>
    <s v="1º Semestre"/>
    <x v="1"/>
    <x v="5"/>
    <n v="6"/>
  </r>
  <r>
    <n v="120"/>
    <d v="2025-06-30T00:00:00"/>
    <x v="2"/>
    <x v="2"/>
    <x v="10"/>
    <x v="2"/>
    <n v="44"/>
    <n v="5"/>
    <x v="2"/>
    <s v="1º Semestre"/>
    <x v="1"/>
    <x v="5"/>
    <n v="6"/>
  </r>
  <r>
    <n v="121"/>
    <d v="2025-07-02T00:00:00"/>
    <x v="0"/>
    <x v="0"/>
    <x v="0"/>
    <x v="0"/>
    <n v="109"/>
    <n v="2"/>
    <x v="2"/>
    <s v="2º Semestre"/>
    <x v="2"/>
    <x v="6"/>
    <n v="7"/>
  </r>
  <r>
    <n v="122"/>
    <d v="2025-07-03T00:00:00"/>
    <x v="1"/>
    <x v="2"/>
    <x v="2"/>
    <x v="1"/>
    <n v="80"/>
    <n v="5"/>
    <x v="2"/>
    <s v="2º Semestre"/>
    <x v="2"/>
    <x v="6"/>
    <n v="7"/>
  </r>
  <r>
    <n v="123"/>
    <d v="2025-07-04T00:00:00"/>
    <x v="2"/>
    <x v="3"/>
    <x v="3"/>
    <x v="1"/>
    <n v="40"/>
    <n v="4"/>
    <x v="1"/>
    <s v="2º Semestre"/>
    <x v="2"/>
    <x v="6"/>
    <n v="7"/>
  </r>
  <r>
    <n v="124"/>
    <d v="2025-07-07T00:00:00"/>
    <x v="3"/>
    <x v="4"/>
    <x v="4"/>
    <x v="0"/>
    <n v="15"/>
    <n v="1"/>
    <x v="2"/>
    <s v="2º Semestre"/>
    <x v="2"/>
    <x v="6"/>
    <n v="7"/>
  </r>
  <r>
    <n v="125"/>
    <d v="2025-07-08T00:00:00"/>
    <x v="4"/>
    <x v="5"/>
    <x v="6"/>
    <x v="2"/>
    <n v="20"/>
    <n v="7"/>
    <x v="4"/>
    <s v="2º Semestre"/>
    <x v="2"/>
    <x v="6"/>
    <n v="7"/>
  </r>
  <r>
    <n v="126"/>
    <d v="2025-07-09T00:00:00"/>
    <x v="0"/>
    <x v="1"/>
    <x v="1"/>
    <x v="0"/>
    <n v="110"/>
    <n v="2"/>
    <x v="2"/>
    <s v="2º Semestre"/>
    <x v="2"/>
    <x v="6"/>
    <n v="7"/>
  </r>
  <r>
    <n v="127"/>
    <d v="2025-07-10T00:00:00"/>
    <x v="0"/>
    <x v="7"/>
    <x v="8"/>
    <x v="1"/>
    <n v="100"/>
    <n v="2"/>
    <x v="2"/>
    <s v="2º Semestre"/>
    <x v="2"/>
    <x v="6"/>
    <n v="7"/>
  </r>
  <r>
    <n v="128"/>
    <d v="2025-07-11T00:00:00"/>
    <x v="3"/>
    <x v="0"/>
    <x v="5"/>
    <x v="0"/>
    <n v="15"/>
    <n v="2"/>
    <x v="2"/>
    <s v="2º Semestre"/>
    <x v="2"/>
    <x v="6"/>
    <n v="7"/>
  </r>
  <r>
    <n v="129"/>
    <d v="2025-07-14T00:00:00"/>
    <x v="2"/>
    <x v="2"/>
    <x v="10"/>
    <x v="2"/>
    <n v="40"/>
    <n v="5"/>
    <x v="2"/>
    <s v="2º Semestre"/>
    <x v="2"/>
    <x v="6"/>
    <n v="7"/>
  </r>
  <r>
    <n v="130"/>
    <d v="2025-07-15T00:00:00"/>
    <x v="0"/>
    <x v="8"/>
    <x v="11"/>
    <x v="1"/>
    <n v="110"/>
    <n v="3"/>
    <x v="1"/>
    <s v="2º Semestre"/>
    <x v="2"/>
    <x v="6"/>
    <n v="7"/>
  </r>
  <r>
    <n v="131"/>
    <d v="2025-07-16T00:00:00"/>
    <x v="1"/>
    <x v="3"/>
    <x v="12"/>
    <x v="1"/>
    <n v="87"/>
    <n v="3"/>
    <x v="1"/>
    <s v="2º Semestre"/>
    <x v="2"/>
    <x v="6"/>
    <n v="7"/>
  </r>
  <r>
    <n v="132"/>
    <d v="2025-07-17T00:00:00"/>
    <x v="4"/>
    <x v="1"/>
    <x v="13"/>
    <x v="0"/>
    <n v="20"/>
    <n v="5"/>
    <x v="1"/>
    <s v="2º Semestre"/>
    <x v="2"/>
    <x v="6"/>
    <n v="7"/>
  </r>
  <r>
    <n v="133"/>
    <d v="2025-07-21T00:00:00"/>
    <x v="0"/>
    <x v="0"/>
    <x v="0"/>
    <x v="0"/>
    <n v="110"/>
    <n v="2"/>
    <x v="2"/>
    <s v="2º Semestre"/>
    <x v="2"/>
    <x v="6"/>
    <n v="7"/>
  </r>
  <r>
    <n v="134"/>
    <d v="2025-07-22T00:00:00"/>
    <x v="3"/>
    <x v="4"/>
    <x v="9"/>
    <x v="0"/>
    <n v="15"/>
    <n v="1"/>
    <x v="2"/>
    <s v="2º Semestre"/>
    <x v="2"/>
    <x v="6"/>
    <n v="7"/>
  </r>
  <r>
    <n v="135"/>
    <d v="2025-07-23T00:00:00"/>
    <x v="1"/>
    <x v="2"/>
    <x v="2"/>
    <x v="1"/>
    <n v="87"/>
    <n v="5"/>
    <x v="2"/>
    <s v="2º Semestre"/>
    <x v="2"/>
    <x v="6"/>
    <n v="7"/>
  </r>
  <r>
    <n v="136"/>
    <d v="2025-07-24T00:00:00"/>
    <x v="4"/>
    <x v="5"/>
    <x v="6"/>
    <x v="2"/>
    <n v="20"/>
    <n v="8"/>
    <x v="6"/>
    <s v="2º Semestre"/>
    <x v="2"/>
    <x v="6"/>
    <n v="7"/>
  </r>
  <r>
    <n v="137"/>
    <d v="2025-07-25T00:00:00"/>
    <x v="0"/>
    <x v="6"/>
    <x v="7"/>
    <x v="3"/>
    <n v="109"/>
    <n v="1"/>
    <x v="2"/>
    <s v="2º Semestre"/>
    <x v="2"/>
    <x v="6"/>
    <n v="7"/>
  </r>
  <r>
    <n v="138"/>
    <d v="2025-07-28T00:00:00"/>
    <x v="2"/>
    <x v="3"/>
    <x v="3"/>
    <x v="1"/>
    <n v="40"/>
    <n v="4"/>
    <x v="1"/>
    <s v="2º Semestre"/>
    <x v="2"/>
    <x v="6"/>
    <n v="7"/>
  </r>
  <r>
    <n v="139"/>
    <d v="2025-07-29T00:00:00"/>
    <x v="0"/>
    <x v="1"/>
    <x v="1"/>
    <x v="0"/>
    <n v="109"/>
    <n v="2"/>
    <x v="2"/>
    <s v="2º Semestre"/>
    <x v="2"/>
    <x v="6"/>
    <n v="7"/>
  </r>
  <r>
    <n v="140"/>
    <d v="2025-07-30T00:00:00"/>
    <x v="3"/>
    <x v="0"/>
    <x v="5"/>
    <x v="0"/>
    <n v="15"/>
    <n v="2"/>
    <x v="2"/>
    <s v="2º Semestre"/>
    <x v="2"/>
    <x v="6"/>
    <n v="7"/>
  </r>
  <r>
    <n v="141"/>
    <d v="2025-08-01T00:00:00"/>
    <x v="4"/>
    <x v="5"/>
    <x v="6"/>
    <x v="2"/>
    <n v="20"/>
    <n v="9"/>
    <x v="1"/>
    <s v="2º Semestre"/>
    <x v="2"/>
    <x v="7"/>
    <n v="8"/>
  </r>
  <r>
    <n v="142"/>
    <d v="2025-08-04T00:00:00"/>
    <x v="0"/>
    <x v="0"/>
    <x v="0"/>
    <x v="0"/>
    <n v="100"/>
    <n v="2"/>
    <x v="2"/>
    <s v="2º Semestre"/>
    <x v="2"/>
    <x v="7"/>
    <n v="8"/>
  </r>
  <r>
    <n v="143"/>
    <d v="2025-08-05T00:00:00"/>
    <x v="1"/>
    <x v="2"/>
    <x v="2"/>
    <x v="1"/>
    <n v="83"/>
    <n v="4"/>
    <x v="2"/>
    <s v="2º Semestre"/>
    <x v="2"/>
    <x v="7"/>
    <n v="8"/>
  </r>
  <r>
    <n v="144"/>
    <d v="2025-08-06T00:00:00"/>
    <x v="2"/>
    <x v="3"/>
    <x v="3"/>
    <x v="1"/>
    <n v="45"/>
    <n v="4"/>
    <x v="1"/>
    <s v="2º Semestre"/>
    <x v="2"/>
    <x v="7"/>
    <n v="8"/>
  </r>
  <r>
    <n v="145"/>
    <d v="2025-08-07T00:00:00"/>
    <x v="4"/>
    <x v="1"/>
    <x v="13"/>
    <x v="0"/>
    <n v="20"/>
    <n v="6"/>
    <x v="4"/>
    <s v="2º Semestre"/>
    <x v="2"/>
    <x v="7"/>
    <n v="8"/>
  </r>
  <r>
    <n v="146"/>
    <d v="2025-08-08T00:00:00"/>
    <x v="0"/>
    <x v="7"/>
    <x v="8"/>
    <x v="1"/>
    <n v="100"/>
    <n v="2"/>
    <x v="2"/>
    <s v="2º Semestre"/>
    <x v="2"/>
    <x v="7"/>
    <n v="8"/>
  </r>
  <r>
    <n v="147"/>
    <d v="2025-08-11T00:00:00"/>
    <x v="3"/>
    <x v="4"/>
    <x v="4"/>
    <x v="0"/>
    <n v="20"/>
    <n v="1"/>
    <x v="2"/>
    <s v="2º Semestre"/>
    <x v="2"/>
    <x v="7"/>
    <n v="8"/>
  </r>
  <r>
    <n v="148"/>
    <d v="2025-08-12T00:00:00"/>
    <x v="4"/>
    <x v="5"/>
    <x v="6"/>
    <x v="2"/>
    <n v="20"/>
    <n v="10"/>
    <x v="7"/>
    <s v="2º Semestre"/>
    <x v="2"/>
    <x v="7"/>
    <n v="8"/>
  </r>
  <r>
    <n v="149"/>
    <d v="2025-08-13T00:00:00"/>
    <x v="0"/>
    <x v="8"/>
    <x v="11"/>
    <x v="1"/>
    <n v="100"/>
    <n v="3"/>
    <x v="1"/>
    <s v="2º Semestre"/>
    <x v="2"/>
    <x v="7"/>
    <n v="8"/>
  </r>
  <r>
    <n v="150"/>
    <d v="2025-08-14T00:00:00"/>
    <x v="1"/>
    <x v="3"/>
    <x v="12"/>
    <x v="1"/>
    <n v="70"/>
    <n v="3"/>
    <x v="1"/>
    <s v="2º Semestre"/>
    <x v="2"/>
    <x v="7"/>
    <n v="8"/>
  </r>
  <r>
    <n v="151"/>
    <d v="2025-08-15T00:00:00"/>
    <x v="0"/>
    <x v="6"/>
    <x v="7"/>
    <x v="3"/>
    <n v="120"/>
    <n v="1"/>
    <x v="2"/>
    <s v="2º Semestre"/>
    <x v="2"/>
    <x v="7"/>
    <n v="8"/>
  </r>
  <r>
    <n v="152"/>
    <d v="2025-08-18T00:00:00"/>
    <x v="2"/>
    <x v="2"/>
    <x v="10"/>
    <x v="2"/>
    <n v="45"/>
    <n v="5"/>
    <x v="2"/>
    <s v="2º Semestre"/>
    <x v="2"/>
    <x v="7"/>
    <n v="8"/>
  </r>
  <r>
    <n v="153"/>
    <d v="2025-08-19T00:00:00"/>
    <x v="3"/>
    <x v="0"/>
    <x v="5"/>
    <x v="0"/>
    <n v="20"/>
    <n v="2"/>
    <x v="2"/>
    <s v="2º Semestre"/>
    <x v="2"/>
    <x v="7"/>
    <n v="8"/>
  </r>
  <r>
    <n v="154"/>
    <d v="2025-08-20T00:00:00"/>
    <x v="0"/>
    <x v="1"/>
    <x v="1"/>
    <x v="0"/>
    <n v="110"/>
    <n v="2"/>
    <x v="2"/>
    <s v="2º Semestre"/>
    <x v="2"/>
    <x v="7"/>
    <n v="8"/>
  </r>
  <r>
    <n v="155"/>
    <d v="2025-08-21T00:00:00"/>
    <x v="4"/>
    <x v="5"/>
    <x v="6"/>
    <x v="2"/>
    <n v="20"/>
    <n v="9"/>
    <x v="6"/>
    <s v="2º Semestre"/>
    <x v="2"/>
    <x v="7"/>
    <n v="8"/>
  </r>
  <r>
    <n v="156"/>
    <d v="2025-08-22T00:00:00"/>
    <x v="0"/>
    <x v="0"/>
    <x v="0"/>
    <x v="0"/>
    <n v="110"/>
    <n v="2"/>
    <x v="2"/>
    <s v="2º Semestre"/>
    <x v="2"/>
    <x v="7"/>
    <n v="8"/>
  </r>
  <r>
    <n v="157"/>
    <d v="2025-08-25T00:00:00"/>
    <x v="1"/>
    <x v="2"/>
    <x v="2"/>
    <x v="1"/>
    <n v="88"/>
    <n v="4"/>
    <x v="2"/>
    <s v="2º Semestre"/>
    <x v="2"/>
    <x v="7"/>
    <n v="8"/>
  </r>
  <r>
    <n v="158"/>
    <d v="2025-08-26T00:00:00"/>
    <x v="2"/>
    <x v="3"/>
    <x v="3"/>
    <x v="1"/>
    <n v="42"/>
    <n v="3"/>
    <x v="1"/>
    <s v="2º Semestre"/>
    <x v="2"/>
    <x v="7"/>
    <n v="8"/>
  </r>
  <r>
    <n v="159"/>
    <d v="2025-08-27T00:00:00"/>
    <x v="4"/>
    <x v="1"/>
    <x v="13"/>
    <x v="0"/>
    <n v="20"/>
    <n v="5"/>
    <x v="1"/>
    <s v="2º Semestre"/>
    <x v="2"/>
    <x v="7"/>
    <n v="8"/>
  </r>
  <r>
    <n v="160"/>
    <d v="2025-08-29T00:00:00"/>
    <x v="0"/>
    <x v="7"/>
    <x v="8"/>
    <x v="1"/>
    <n v="110"/>
    <n v="2"/>
    <x v="2"/>
    <s v="2º Semestre"/>
    <x v="2"/>
    <x v="7"/>
    <n v="8"/>
  </r>
  <r>
    <n v="161"/>
    <d v="2025-09-01T00:00:00"/>
    <x v="0"/>
    <x v="0"/>
    <x v="0"/>
    <x v="0"/>
    <n v="120"/>
    <n v="2"/>
    <x v="2"/>
    <s v="2º Semestre"/>
    <x v="2"/>
    <x v="8"/>
    <n v="9"/>
  </r>
  <r>
    <n v="162"/>
    <d v="2025-09-02T00:00:00"/>
    <x v="1"/>
    <x v="2"/>
    <x v="2"/>
    <x v="1"/>
    <n v="83"/>
    <n v="4"/>
    <x v="2"/>
    <s v="2º Semestre"/>
    <x v="2"/>
    <x v="8"/>
    <n v="9"/>
  </r>
  <r>
    <n v="163"/>
    <d v="2025-09-03T00:00:00"/>
    <x v="2"/>
    <x v="3"/>
    <x v="3"/>
    <x v="1"/>
    <n v="45"/>
    <n v="3"/>
    <x v="1"/>
    <s v="2º Semestre"/>
    <x v="2"/>
    <x v="8"/>
    <n v="9"/>
  </r>
  <r>
    <n v="164"/>
    <d v="2025-09-04T00:00:00"/>
    <x v="3"/>
    <x v="4"/>
    <x v="4"/>
    <x v="0"/>
    <n v="20"/>
    <n v="1"/>
    <x v="2"/>
    <s v="2º Semestre"/>
    <x v="2"/>
    <x v="8"/>
    <n v="9"/>
  </r>
  <r>
    <n v="165"/>
    <d v="2025-09-05T00:00:00"/>
    <x v="4"/>
    <x v="5"/>
    <x v="6"/>
    <x v="2"/>
    <n v="15"/>
    <n v="8"/>
    <x v="1"/>
    <s v="2º Semestre"/>
    <x v="2"/>
    <x v="8"/>
    <n v="9"/>
  </r>
  <r>
    <n v="166"/>
    <d v="2025-09-08T00:00:00"/>
    <x v="0"/>
    <x v="1"/>
    <x v="1"/>
    <x v="0"/>
    <n v="109"/>
    <n v="2"/>
    <x v="2"/>
    <s v="2º Semestre"/>
    <x v="2"/>
    <x v="8"/>
    <n v="9"/>
  </r>
  <r>
    <n v="167"/>
    <d v="2025-09-09T00:00:00"/>
    <x v="0"/>
    <x v="8"/>
    <x v="11"/>
    <x v="1"/>
    <n v="109"/>
    <n v="3"/>
    <x v="1"/>
    <s v="2º Semestre"/>
    <x v="2"/>
    <x v="8"/>
    <n v="9"/>
  </r>
  <r>
    <n v="168"/>
    <d v="2025-09-10T00:00:00"/>
    <x v="3"/>
    <x v="0"/>
    <x v="5"/>
    <x v="0"/>
    <n v="20"/>
    <n v="2"/>
    <x v="2"/>
    <s v="2º Semestre"/>
    <x v="2"/>
    <x v="8"/>
    <n v="9"/>
  </r>
  <r>
    <n v="169"/>
    <d v="2025-09-11T00:00:00"/>
    <x v="2"/>
    <x v="2"/>
    <x v="10"/>
    <x v="2"/>
    <n v="42"/>
    <n v="4"/>
    <x v="2"/>
    <s v="2º Semestre"/>
    <x v="2"/>
    <x v="8"/>
    <n v="9"/>
  </r>
  <r>
    <n v="170"/>
    <d v="2025-09-12T00:00:00"/>
    <x v="4"/>
    <x v="1"/>
    <x v="13"/>
    <x v="0"/>
    <n v="15"/>
    <n v="5"/>
    <x v="3"/>
    <s v="2º Semestre"/>
    <x v="2"/>
    <x v="8"/>
    <n v="9"/>
  </r>
  <r>
    <n v="171"/>
    <d v="2025-09-15T00:00:00"/>
    <x v="1"/>
    <x v="3"/>
    <x v="12"/>
    <x v="1"/>
    <n v="84"/>
    <n v="3"/>
    <x v="1"/>
    <s v="2º Semestre"/>
    <x v="2"/>
    <x v="8"/>
    <n v="9"/>
  </r>
  <r>
    <n v="172"/>
    <d v="2025-09-16T00:00:00"/>
    <x v="0"/>
    <x v="7"/>
    <x v="8"/>
    <x v="1"/>
    <n v="110"/>
    <n v="2"/>
    <x v="2"/>
    <s v="2º Semestre"/>
    <x v="2"/>
    <x v="8"/>
    <n v="9"/>
  </r>
  <r>
    <n v="173"/>
    <d v="2025-09-17T00:00:00"/>
    <x v="4"/>
    <x v="5"/>
    <x v="6"/>
    <x v="2"/>
    <n v="15"/>
    <n v="7"/>
    <x v="6"/>
    <s v="2º Semestre"/>
    <x v="2"/>
    <x v="8"/>
    <n v="9"/>
  </r>
  <r>
    <n v="174"/>
    <d v="2025-09-18T00:00:00"/>
    <x v="0"/>
    <x v="0"/>
    <x v="0"/>
    <x v="0"/>
    <n v="110"/>
    <n v="2"/>
    <x v="2"/>
    <s v="2º Semestre"/>
    <x v="2"/>
    <x v="8"/>
    <n v="9"/>
  </r>
  <r>
    <n v="175"/>
    <d v="2025-09-19T00:00:00"/>
    <x v="3"/>
    <x v="4"/>
    <x v="9"/>
    <x v="0"/>
    <n v="26"/>
    <n v="1"/>
    <x v="2"/>
    <s v="2º Semestre"/>
    <x v="2"/>
    <x v="8"/>
    <n v="9"/>
  </r>
  <r>
    <n v="176"/>
    <d v="2025-09-22T00:00:00"/>
    <x v="0"/>
    <x v="6"/>
    <x v="7"/>
    <x v="3"/>
    <n v="109"/>
    <n v="1"/>
    <x v="2"/>
    <s v="2º Semestre"/>
    <x v="2"/>
    <x v="8"/>
    <n v="9"/>
  </r>
  <r>
    <n v="177"/>
    <d v="2025-09-23T00:00:00"/>
    <x v="1"/>
    <x v="2"/>
    <x v="2"/>
    <x v="1"/>
    <n v="84"/>
    <n v="4"/>
    <x v="2"/>
    <s v="2º Semestre"/>
    <x v="2"/>
    <x v="8"/>
    <n v="9"/>
  </r>
  <r>
    <n v="178"/>
    <d v="2025-09-24T00:00:00"/>
    <x v="2"/>
    <x v="3"/>
    <x v="3"/>
    <x v="1"/>
    <n v="42"/>
    <n v="3"/>
    <x v="1"/>
    <s v="2º Semestre"/>
    <x v="2"/>
    <x v="8"/>
    <n v="9"/>
  </r>
  <r>
    <n v="179"/>
    <d v="2025-09-25T00:00:00"/>
    <x v="4"/>
    <x v="5"/>
    <x v="6"/>
    <x v="2"/>
    <n v="15"/>
    <n v="8"/>
    <x v="0"/>
    <s v="2º Semestre"/>
    <x v="2"/>
    <x v="8"/>
    <n v="9"/>
  </r>
  <r>
    <n v="180"/>
    <d v="2025-09-29T00:00:00"/>
    <x v="0"/>
    <x v="1"/>
    <x v="1"/>
    <x v="0"/>
    <n v="109"/>
    <n v="2"/>
    <x v="2"/>
    <s v="2º Semestre"/>
    <x v="2"/>
    <x v="8"/>
    <n v="9"/>
  </r>
  <r>
    <n v="181"/>
    <d v="2025-10-02T00:00:00"/>
    <x v="0"/>
    <x v="0"/>
    <x v="0"/>
    <x v="0"/>
    <n v="120"/>
    <n v="2"/>
    <x v="2"/>
    <s v="2º Semestre"/>
    <x v="3"/>
    <x v="9"/>
    <n v="10"/>
  </r>
  <r>
    <n v="182"/>
    <d v="2025-10-03T00:00:00"/>
    <x v="1"/>
    <x v="2"/>
    <x v="2"/>
    <x v="1"/>
    <n v="87"/>
    <n v="4"/>
    <x v="2"/>
    <s v="2º Semestre"/>
    <x v="3"/>
    <x v="9"/>
    <n v="10"/>
  </r>
  <r>
    <n v="183"/>
    <d v="2025-10-06T00:00:00"/>
    <x v="2"/>
    <x v="3"/>
    <x v="3"/>
    <x v="1"/>
    <n v="42"/>
    <n v="3"/>
    <x v="1"/>
    <s v="2º Semestre"/>
    <x v="3"/>
    <x v="9"/>
    <n v="10"/>
  </r>
  <r>
    <n v="184"/>
    <d v="2025-10-07T00:00:00"/>
    <x v="3"/>
    <x v="4"/>
    <x v="4"/>
    <x v="0"/>
    <n v="26"/>
    <n v="1"/>
    <x v="2"/>
    <s v="2º Semestre"/>
    <x v="3"/>
    <x v="9"/>
    <n v="10"/>
  </r>
  <r>
    <n v="185"/>
    <d v="2025-10-08T00:00:00"/>
    <x v="4"/>
    <x v="5"/>
    <x v="6"/>
    <x v="2"/>
    <n v="15"/>
    <n v="7"/>
    <x v="6"/>
    <s v="2º Semestre"/>
    <x v="3"/>
    <x v="9"/>
    <n v="10"/>
  </r>
  <r>
    <n v="186"/>
    <d v="2025-10-09T00:00:00"/>
    <x v="0"/>
    <x v="1"/>
    <x v="1"/>
    <x v="0"/>
    <n v="120"/>
    <n v="2"/>
    <x v="2"/>
    <s v="2º Semestre"/>
    <x v="3"/>
    <x v="9"/>
    <n v="10"/>
  </r>
  <r>
    <n v="187"/>
    <d v="2025-10-10T00:00:00"/>
    <x v="0"/>
    <x v="7"/>
    <x v="8"/>
    <x v="1"/>
    <n v="120"/>
    <n v="2"/>
    <x v="2"/>
    <s v="2º Semestre"/>
    <x v="3"/>
    <x v="9"/>
    <n v="10"/>
  </r>
  <r>
    <n v="188"/>
    <d v="2025-10-13T00:00:00"/>
    <x v="3"/>
    <x v="0"/>
    <x v="5"/>
    <x v="0"/>
    <n v="20"/>
    <n v="2"/>
    <x v="2"/>
    <s v="2º Semestre"/>
    <x v="3"/>
    <x v="9"/>
    <n v="10"/>
  </r>
  <r>
    <n v="189"/>
    <d v="2025-10-14T00:00:00"/>
    <x v="2"/>
    <x v="2"/>
    <x v="10"/>
    <x v="2"/>
    <n v="42"/>
    <n v="4"/>
    <x v="2"/>
    <s v="2º Semestre"/>
    <x v="3"/>
    <x v="9"/>
    <n v="10"/>
  </r>
  <r>
    <n v="190"/>
    <d v="2025-10-15T00:00:00"/>
    <x v="0"/>
    <x v="8"/>
    <x v="11"/>
    <x v="1"/>
    <n v="120"/>
    <n v="3"/>
    <x v="1"/>
    <s v="2º Semestre"/>
    <x v="3"/>
    <x v="9"/>
    <n v="10"/>
  </r>
  <r>
    <n v="191"/>
    <d v="2025-10-16T00:00:00"/>
    <x v="1"/>
    <x v="3"/>
    <x v="12"/>
    <x v="1"/>
    <n v="86"/>
    <n v="3"/>
    <x v="1"/>
    <s v="2º Semestre"/>
    <x v="3"/>
    <x v="9"/>
    <n v="10"/>
  </r>
  <r>
    <n v="192"/>
    <d v="2025-10-17T00:00:00"/>
    <x v="4"/>
    <x v="1"/>
    <x v="13"/>
    <x v="0"/>
    <n v="15"/>
    <n v="4"/>
    <x v="1"/>
    <s v="2º Semestre"/>
    <x v="3"/>
    <x v="9"/>
    <n v="10"/>
  </r>
  <r>
    <n v="193"/>
    <d v="2025-10-20T00:00:00"/>
    <x v="0"/>
    <x v="0"/>
    <x v="0"/>
    <x v="0"/>
    <n v="100"/>
    <n v="2"/>
    <x v="2"/>
    <s v="2º Semestre"/>
    <x v="3"/>
    <x v="9"/>
    <n v="10"/>
  </r>
  <r>
    <n v="194"/>
    <d v="2025-10-21T00:00:00"/>
    <x v="3"/>
    <x v="4"/>
    <x v="9"/>
    <x v="0"/>
    <n v="30"/>
    <n v="1"/>
    <x v="2"/>
    <s v="2º Semestre"/>
    <x v="3"/>
    <x v="9"/>
    <n v="10"/>
  </r>
  <r>
    <n v="195"/>
    <d v="2025-10-22T00:00:00"/>
    <x v="1"/>
    <x v="2"/>
    <x v="2"/>
    <x v="1"/>
    <n v="85"/>
    <n v="4"/>
    <x v="2"/>
    <s v="2º Semestre"/>
    <x v="3"/>
    <x v="9"/>
    <n v="10"/>
  </r>
  <r>
    <n v="196"/>
    <d v="2025-10-23T00:00:00"/>
    <x v="4"/>
    <x v="5"/>
    <x v="6"/>
    <x v="2"/>
    <n v="15"/>
    <n v="7"/>
    <x v="0"/>
    <s v="2º Semestre"/>
    <x v="3"/>
    <x v="9"/>
    <n v="10"/>
  </r>
  <r>
    <n v="197"/>
    <d v="2025-10-24T00:00:00"/>
    <x v="0"/>
    <x v="6"/>
    <x v="7"/>
    <x v="3"/>
    <n v="110"/>
    <n v="1"/>
    <x v="2"/>
    <s v="2º Semestre"/>
    <x v="3"/>
    <x v="9"/>
    <n v="10"/>
  </r>
  <r>
    <n v="198"/>
    <d v="2025-10-27T00:00:00"/>
    <x v="2"/>
    <x v="3"/>
    <x v="3"/>
    <x v="1"/>
    <n v="30"/>
    <n v="3"/>
    <x v="1"/>
    <s v="2º Semestre"/>
    <x v="3"/>
    <x v="9"/>
    <n v="10"/>
  </r>
  <r>
    <n v="199"/>
    <d v="2025-10-28T00:00:00"/>
    <x v="0"/>
    <x v="1"/>
    <x v="1"/>
    <x v="0"/>
    <n v="110"/>
    <n v="2"/>
    <x v="2"/>
    <s v="2º Semestre"/>
    <x v="3"/>
    <x v="9"/>
    <n v="10"/>
  </r>
  <r>
    <n v="200"/>
    <d v="2025-10-30T00:00:00"/>
    <x v="3"/>
    <x v="0"/>
    <x v="5"/>
    <x v="0"/>
    <n v="30"/>
    <n v="2"/>
    <x v="2"/>
    <s v="2º Semestre"/>
    <x v="3"/>
    <x v="9"/>
    <n v="10"/>
  </r>
  <r>
    <n v="201"/>
    <d v="2025-11-03T00:00:00"/>
    <x v="0"/>
    <x v="0"/>
    <x v="0"/>
    <x v="0"/>
    <n v="110"/>
    <n v="1"/>
    <x v="2"/>
    <s v="2º Semestre"/>
    <x v="3"/>
    <x v="10"/>
    <n v="11"/>
  </r>
  <r>
    <n v="202"/>
    <d v="2025-11-04T00:00:00"/>
    <x v="1"/>
    <x v="2"/>
    <x v="2"/>
    <x v="1"/>
    <n v="85"/>
    <n v="3"/>
    <x v="2"/>
    <s v="2º Semestre"/>
    <x v="3"/>
    <x v="10"/>
    <n v="11"/>
  </r>
  <r>
    <n v="203"/>
    <d v="2025-11-05T00:00:00"/>
    <x v="2"/>
    <x v="3"/>
    <x v="3"/>
    <x v="1"/>
    <n v="42"/>
    <n v="3"/>
    <x v="1"/>
    <s v="2º Semestre"/>
    <x v="3"/>
    <x v="10"/>
    <n v="11"/>
  </r>
  <r>
    <n v="204"/>
    <d v="2025-11-06T00:00:00"/>
    <x v="3"/>
    <x v="4"/>
    <x v="4"/>
    <x v="0"/>
    <n v="26"/>
    <n v="1"/>
    <x v="2"/>
    <s v="2º Semestre"/>
    <x v="3"/>
    <x v="10"/>
    <n v="11"/>
  </r>
  <r>
    <n v="205"/>
    <d v="2025-11-07T00:00:00"/>
    <x v="4"/>
    <x v="5"/>
    <x v="6"/>
    <x v="2"/>
    <n v="10"/>
    <n v="6"/>
    <x v="1"/>
    <s v="2º Semestre"/>
    <x v="3"/>
    <x v="10"/>
    <n v="11"/>
  </r>
  <r>
    <n v="206"/>
    <d v="2025-11-10T00:00:00"/>
    <x v="0"/>
    <x v="1"/>
    <x v="1"/>
    <x v="0"/>
    <n v="109"/>
    <n v="2"/>
    <x v="2"/>
    <s v="2º Semestre"/>
    <x v="3"/>
    <x v="10"/>
    <n v="11"/>
  </r>
  <r>
    <n v="207"/>
    <d v="2025-11-11T00:00:00"/>
    <x v="0"/>
    <x v="7"/>
    <x v="8"/>
    <x v="1"/>
    <n v="109"/>
    <n v="2"/>
    <x v="2"/>
    <s v="2º Semestre"/>
    <x v="3"/>
    <x v="10"/>
    <n v="11"/>
  </r>
  <r>
    <n v="208"/>
    <d v="2025-11-12T00:00:00"/>
    <x v="3"/>
    <x v="0"/>
    <x v="5"/>
    <x v="0"/>
    <n v="20"/>
    <n v="1"/>
    <x v="2"/>
    <s v="2º Semestre"/>
    <x v="3"/>
    <x v="10"/>
    <n v="11"/>
  </r>
  <r>
    <n v="209"/>
    <d v="2025-11-13T00:00:00"/>
    <x v="2"/>
    <x v="2"/>
    <x v="10"/>
    <x v="2"/>
    <n v="30"/>
    <n v="4"/>
    <x v="2"/>
    <s v="2º Semestre"/>
    <x v="3"/>
    <x v="10"/>
    <n v="11"/>
  </r>
  <r>
    <n v="210"/>
    <d v="2025-11-14T00:00:00"/>
    <x v="0"/>
    <x v="8"/>
    <x v="11"/>
    <x v="1"/>
    <n v="110"/>
    <n v="2"/>
    <x v="1"/>
    <s v="2º Semestre"/>
    <x v="3"/>
    <x v="10"/>
    <n v="11"/>
  </r>
  <r>
    <n v="211"/>
    <d v="2025-11-17T00:00:00"/>
    <x v="1"/>
    <x v="3"/>
    <x v="12"/>
    <x v="1"/>
    <n v="82"/>
    <n v="2"/>
    <x v="1"/>
    <s v="2º Semestre"/>
    <x v="3"/>
    <x v="10"/>
    <n v="11"/>
  </r>
  <r>
    <n v="212"/>
    <d v="2025-11-18T00:00:00"/>
    <x v="4"/>
    <x v="1"/>
    <x v="13"/>
    <x v="0"/>
    <n v="10"/>
    <n v="4"/>
    <x v="1"/>
    <s v="2º Semestre"/>
    <x v="3"/>
    <x v="10"/>
    <n v="11"/>
  </r>
  <r>
    <n v="213"/>
    <d v="2025-11-19T00:00:00"/>
    <x v="0"/>
    <x v="0"/>
    <x v="0"/>
    <x v="0"/>
    <n v="110"/>
    <n v="1"/>
    <x v="2"/>
    <s v="2º Semestre"/>
    <x v="3"/>
    <x v="10"/>
    <n v="11"/>
  </r>
  <r>
    <n v="214"/>
    <d v="2025-11-20T00:00:00"/>
    <x v="3"/>
    <x v="4"/>
    <x v="9"/>
    <x v="0"/>
    <n v="35"/>
    <n v="1"/>
    <x v="2"/>
    <s v="2º Semestre"/>
    <x v="3"/>
    <x v="10"/>
    <n v="11"/>
  </r>
  <r>
    <n v="215"/>
    <d v="2025-11-21T00:00:00"/>
    <x v="1"/>
    <x v="2"/>
    <x v="2"/>
    <x v="1"/>
    <n v="82"/>
    <n v="3"/>
    <x v="2"/>
    <s v="2º Semestre"/>
    <x v="3"/>
    <x v="10"/>
    <n v="11"/>
  </r>
  <r>
    <n v="216"/>
    <d v="2025-11-24T00:00:00"/>
    <x v="4"/>
    <x v="5"/>
    <x v="6"/>
    <x v="2"/>
    <n v="10"/>
    <n v="6"/>
    <x v="6"/>
    <s v="2º Semestre"/>
    <x v="3"/>
    <x v="10"/>
    <n v="11"/>
  </r>
  <r>
    <n v="217"/>
    <d v="2025-11-25T00:00:00"/>
    <x v="0"/>
    <x v="6"/>
    <x v="7"/>
    <x v="3"/>
    <n v="120"/>
    <n v="1"/>
    <x v="2"/>
    <s v="2º Semestre"/>
    <x v="3"/>
    <x v="10"/>
    <n v="11"/>
  </r>
  <r>
    <n v="218"/>
    <d v="2025-11-26T00:00:00"/>
    <x v="2"/>
    <x v="3"/>
    <x v="3"/>
    <x v="1"/>
    <n v="44"/>
    <n v="3"/>
    <x v="1"/>
    <s v="2º Semestre"/>
    <x v="3"/>
    <x v="10"/>
    <n v="11"/>
  </r>
  <r>
    <n v="219"/>
    <d v="2025-11-27T00:00:00"/>
    <x v="0"/>
    <x v="1"/>
    <x v="1"/>
    <x v="0"/>
    <n v="120"/>
    <n v="2"/>
    <x v="2"/>
    <s v="2º Semestre"/>
    <x v="3"/>
    <x v="10"/>
    <n v="11"/>
  </r>
  <r>
    <n v="220"/>
    <d v="2025-11-28T00:00:00"/>
    <x v="3"/>
    <x v="0"/>
    <x v="5"/>
    <x v="0"/>
    <n v="26"/>
    <n v="1"/>
    <x v="2"/>
    <s v="2º Semestre"/>
    <x v="3"/>
    <x v="10"/>
    <n v="11"/>
  </r>
  <r>
    <n v="221"/>
    <d v="2025-12-01T00:00:00"/>
    <x v="0"/>
    <x v="0"/>
    <x v="0"/>
    <x v="0"/>
    <n v="110"/>
    <n v="1"/>
    <x v="2"/>
    <s v="2º Semestre"/>
    <x v="3"/>
    <x v="11"/>
    <n v="12"/>
  </r>
  <r>
    <n v="222"/>
    <d v="2025-12-02T00:00:00"/>
    <x v="1"/>
    <x v="2"/>
    <x v="2"/>
    <x v="1"/>
    <n v="85"/>
    <n v="3"/>
    <x v="2"/>
    <s v="2º Semestre"/>
    <x v="3"/>
    <x v="11"/>
    <n v="12"/>
  </r>
  <r>
    <n v="223"/>
    <d v="2025-12-03T00:00:00"/>
    <x v="2"/>
    <x v="3"/>
    <x v="3"/>
    <x v="1"/>
    <n v="50"/>
    <n v="2"/>
    <x v="2"/>
    <s v="2º Semestre"/>
    <x v="3"/>
    <x v="11"/>
    <n v="12"/>
  </r>
  <r>
    <n v="224"/>
    <d v="2025-12-04T00:00:00"/>
    <x v="3"/>
    <x v="4"/>
    <x v="4"/>
    <x v="0"/>
    <n v="26"/>
    <n v="1"/>
    <x v="2"/>
    <s v="2º Semestre"/>
    <x v="3"/>
    <x v="11"/>
    <n v="12"/>
  </r>
  <r>
    <n v="225"/>
    <d v="2025-12-05T00:00:00"/>
    <x v="4"/>
    <x v="5"/>
    <x v="6"/>
    <x v="2"/>
    <n v="10"/>
    <n v="5"/>
    <x v="4"/>
    <s v="2º Semestre"/>
    <x v="3"/>
    <x v="11"/>
    <n v="12"/>
  </r>
  <r>
    <n v="226"/>
    <d v="2025-12-08T00:00:00"/>
    <x v="0"/>
    <x v="1"/>
    <x v="1"/>
    <x v="0"/>
    <n v="110"/>
    <n v="1"/>
    <x v="2"/>
    <s v="2º Semestre"/>
    <x v="3"/>
    <x v="11"/>
    <n v="12"/>
  </r>
  <r>
    <n v="227"/>
    <d v="2025-12-09T00:00:00"/>
    <x v="0"/>
    <x v="7"/>
    <x v="8"/>
    <x v="1"/>
    <n v="110"/>
    <n v="2"/>
    <x v="2"/>
    <s v="2º Semestre"/>
    <x v="3"/>
    <x v="11"/>
    <n v="12"/>
  </r>
  <r>
    <n v="228"/>
    <d v="2025-12-10T00:00:00"/>
    <x v="3"/>
    <x v="0"/>
    <x v="5"/>
    <x v="0"/>
    <n v="30"/>
    <n v="1"/>
    <x v="2"/>
    <s v="2º Semestre"/>
    <x v="3"/>
    <x v="11"/>
    <n v="12"/>
  </r>
  <r>
    <n v="229"/>
    <d v="2025-12-11T00:00:00"/>
    <x v="2"/>
    <x v="2"/>
    <x v="10"/>
    <x v="2"/>
    <n v="43"/>
    <n v="3"/>
    <x v="2"/>
    <s v="2º Semestre"/>
    <x v="3"/>
    <x v="11"/>
    <n v="12"/>
  </r>
  <r>
    <n v="230"/>
    <d v="2025-12-12T00:00:00"/>
    <x v="0"/>
    <x v="8"/>
    <x v="11"/>
    <x v="1"/>
    <n v="100"/>
    <n v="2"/>
    <x v="2"/>
    <s v="2º Semestre"/>
    <x v="3"/>
    <x v="11"/>
    <n v="12"/>
  </r>
  <r>
    <n v="231"/>
    <d v="2025-12-15T00:00:00"/>
    <x v="1"/>
    <x v="3"/>
    <x v="12"/>
    <x v="1"/>
    <n v="85"/>
    <n v="2"/>
    <x v="2"/>
    <s v="2º Semestre"/>
    <x v="3"/>
    <x v="11"/>
    <n v="12"/>
  </r>
  <r>
    <n v="232"/>
    <d v="2025-12-16T00:00:00"/>
    <x v="4"/>
    <x v="1"/>
    <x v="13"/>
    <x v="0"/>
    <n v="10"/>
    <n v="3"/>
    <x v="4"/>
    <s v="2º Semestre"/>
    <x v="3"/>
    <x v="11"/>
    <n v="12"/>
  </r>
  <r>
    <n v="233"/>
    <d v="2025-12-17T00:00:00"/>
    <x v="0"/>
    <x v="0"/>
    <x v="0"/>
    <x v="0"/>
    <n v="100"/>
    <n v="1"/>
    <x v="2"/>
    <s v="2º Semestre"/>
    <x v="3"/>
    <x v="11"/>
    <n v="12"/>
  </r>
  <r>
    <n v="234"/>
    <d v="2025-12-18T00:00:00"/>
    <x v="3"/>
    <x v="4"/>
    <x v="9"/>
    <x v="0"/>
    <n v="35"/>
    <n v="1"/>
    <x v="2"/>
    <s v="2º Semestre"/>
    <x v="3"/>
    <x v="11"/>
    <n v="12"/>
  </r>
  <r>
    <n v="235"/>
    <d v="2025-12-19T00:00:00"/>
    <x v="1"/>
    <x v="2"/>
    <x v="2"/>
    <x v="1"/>
    <n v="80"/>
    <n v="3"/>
    <x v="2"/>
    <s v="2º Semestre"/>
    <x v="3"/>
    <x v="11"/>
    <n v="12"/>
  </r>
  <r>
    <n v="236"/>
    <d v="2025-12-22T00:00:00"/>
    <x v="4"/>
    <x v="5"/>
    <x v="6"/>
    <x v="2"/>
    <n v="10"/>
    <n v="5"/>
    <x v="1"/>
    <s v="2º Semestre"/>
    <x v="3"/>
    <x v="11"/>
    <n v="12"/>
  </r>
  <r>
    <n v="237"/>
    <d v="2025-12-23T00:00:00"/>
    <x v="0"/>
    <x v="6"/>
    <x v="7"/>
    <x v="3"/>
    <n v="100"/>
    <n v="1"/>
    <x v="2"/>
    <s v="2º Semestre"/>
    <x v="3"/>
    <x v="11"/>
    <n v="12"/>
  </r>
  <r>
    <n v="238"/>
    <d v="2025-12-26T00:00:00"/>
    <x v="2"/>
    <x v="3"/>
    <x v="3"/>
    <x v="1"/>
    <n v="50"/>
    <n v="2"/>
    <x v="2"/>
    <s v="2º Semestre"/>
    <x v="3"/>
    <x v="11"/>
    <n v="12"/>
  </r>
  <r>
    <n v="239"/>
    <d v="2025-12-29T00:00:00"/>
    <x v="0"/>
    <x v="1"/>
    <x v="1"/>
    <x v="0"/>
    <n v="100"/>
    <n v="1"/>
    <x v="2"/>
    <s v="2º Semestre"/>
    <x v="3"/>
    <x v="11"/>
    <n v="12"/>
  </r>
  <r>
    <n v="240"/>
    <d v="2025-12-30T00:00:00"/>
    <x v="3"/>
    <x v="0"/>
    <x v="5"/>
    <x v="0"/>
    <n v="20"/>
    <n v="1"/>
    <x v="2"/>
    <s v="2º Semestre"/>
    <x v="3"/>
    <x v="11"/>
    <n v="12"/>
  </r>
  <r>
    <n v="241"/>
    <s v="01/07/2025"/>
    <x v="2"/>
    <x v="2"/>
    <x v="2"/>
    <x v="1"/>
    <n v="44"/>
    <n v="1"/>
    <x v="2"/>
    <s v="2º Semestre"/>
    <x v="2"/>
    <x v="6"/>
    <n v="7"/>
  </r>
  <r>
    <n v="242"/>
    <s v="02/07/2025"/>
    <x v="1"/>
    <x v="2"/>
    <x v="2"/>
    <x v="1"/>
    <n v="100"/>
    <n v="2"/>
    <x v="4"/>
    <s v="2º Semestre"/>
    <x v="2"/>
    <x v="6"/>
    <n v="7"/>
  </r>
  <r>
    <n v="243"/>
    <s v="03/07/2025"/>
    <x v="3"/>
    <x v="0"/>
    <x v="0"/>
    <x v="0"/>
    <n v="30"/>
    <n v="1"/>
    <x v="1"/>
    <s v="2º Semestre"/>
    <x v="2"/>
    <x v="6"/>
    <n v="7"/>
  </r>
  <r>
    <n v="244"/>
    <s v="04/07/2025"/>
    <x v="3"/>
    <x v="5"/>
    <x v="6"/>
    <x v="2"/>
    <n v="30"/>
    <n v="1"/>
    <x v="6"/>
    <s v="2º Semestre"/>
    <x v="2"/>
    <x v="6"/>
    <n v="7"/>
  </r>
  <r>
    <n v="245"/>
    <s v="05/07/2025"/>
    <x v="4"/>
    <x v="0"/>
    <x v="0"/>
    <x v="0"/>
    <n v="16"/>
    <n v="4"/>
    <x v="2"/>
    <s v="2º Semestre"/>
    <x v="2"/>
    <x v="6"/>
    <n v="7"/>
  </r>
  <r>
    <n v="246"/>
    <s v="06/07/2025"/>
    <x v="0"/>
    <x v="5"/>
    <x v="6"/>
    <x v="2"/>
    <n v="120"/>
    <n v="1"/>
    <x v="6"/>
    <s v="2º Semestre"/>
    <x v="2"/>
    <x v="6"/>
    <n v="7"/>
  </r>
  <r>
    <n v="247"/>
    <s v="07/07/2025"/>
    <x v="2"/>
    <x v="2"/>
    <x v="2"/>
    <x v="1"/>
    <n v="50"/>
    <n v="1"/>
    <x v="4"/>
    <s v="2º Semestre"/>
    <x v="2"/>
    <x v="6"/>
    <n v="7"/>
  </r>
  <r>
    <n v="248"/>
    <s v="08/07/2025"/>
    <x v="0"/>
    <x v="5"/>
    <x v="6"/>
    <x v="2"/>
    <n v="120"/>
    <n v="1"/>
    <x v="1"/>
    <s v="2º Semestre"/>
    <x v="2"/>
    <x v="6"/>
    <n v="7"/>
  </r>
  <r>
    <n v="249"/>
    <s v="09/07/2025"/>
    <x v="2"/>
    <x v="0"/>
    <x v="0"/>
    <x v="0"/>
    <n v="43"/>
    <n v="3"/>
    <x v="1"/>
    <s v="2º Semestre"/>
    <x v="2"/>
    <x v="6"/>
    <n v="7"/>
  </r>
  <r>
    <n v="250"/>
    <s v="10/07/2025"/>
    <x v="4"/>
    <x v="0"/>
    <x v="0"/>
    <x v="0"/>
    <n v="17"/>
    <n v="1"/>
    <x v="1"/>
    <s v="2º Semestre"/>
    <x v="2"/>
    <x v="6"/>
    <n v="7"/>
  </r>
  <r>
    <n v="251"/>
    <s v="11/07/2025"/>
    <x v="3"/>
    <x v="0"/>
    <x v="0"/>
    <x v="0"/>
    <n v="30"/>
    <n v="1"/>
    <x v="2"/>
    <s v="2º Semestre"/>
    <x v="2"/>
    <x v="6"/>
    <n v="7"/>
  </r>
  <r>
    <n v="252"/>
    <s v="12/07/2025"/>
    <x v="4"/>
    <x v="0"/>
    <x v="0"/>
    <x v="0"/>
    <n v="17"/>
    <n v="1"/>
    <x v="6"/>
    <s v="2º Semestre"/>
    <x v="2"/>
    <x v="6"/>
    <n v="7"/>
  </r>
  <r>
    <n v="253"/>
    <s v="13/07/2025"/>
    <x v="4"/>
    <x v="2"/>
    <x v="2"/>
    <x v="1"/>
    <n v="16"/>
    <n v="1"/>
    <x v="6"/>
    <s v="2º Semestre"/>
    <x v="2"/>
    <x v="6"/>
    <n v="7"/>
  </r>
  <r>
    <n v="254"/>
    <s v="14/07/2025"/>
    <x v="3"/>
    <x v="0"/>
    <x v="0"/>
    <x v="0"/>
    <n v="30"/>
    <n v="1"/>
    <x v="2"/>
    <s v="2º Semestre"/>
    <x v="2"/>
    <x v="6"/>
    <n v="7"/>
  </r>
  <r>
    <n v="255"/>
    <s v="15/07/2025"/>
    <x v="3"/>
    <x v="2"/>
    <x v="2"/>
    <x v="1"/>
    <n v="22"/>
    <n v="3"/>
    <x v="6"/>
    <s v="2º Semestre"/>
    <x v="2"/>
    <x v="6"/>
    <n v="7"/>
  </r>
  <r>
    <n v="256"/>
    <s v="16/07/2025"/>
    <x v="1"/>
    <x v="2"/>
    <x v="2"/>
    <x v="1"/>
    <n v="102"/>
    <n v="1"/>
    <x v="2"/>
    <s v="2º Semestre"/>
    <x v="2"/>
    <x v="6"/>
    <n v="7"/>
  </r>
  <r>
    <n v="257"/>
    <s v="17/07/2025"/>
    <x v="1"/>
    <x v="2"/>
    <x v="2"/>
    <x v="1"/>
    <n v="99"/>
    <n v="4"/>
    <x v="2"/>
    <s v="2º Semestre"/>
    <x v="2"/>
    <x v="6"/>
    <n v="7"/>
  </r>
  <r>
    <n v="258"/>
    <s v="18/07/2025"/>
    <x v="4"/>
    <x v="0"/>
    <x v="0"/>
    <x v="0"/>
    <n v="15"/>
    <n v="1"/>
    <x v="6"/>
    <s v="2º Semestre"/>
    <x v="2"/>
    <x v="6"/>
    <n v="7"/>
  </r>
  <r>
    <n v="259"/>
    <s v="19/07/2025"/>
    <x v="1"/>
    <x v="0"/>
    <x v="0"/>
    <x v="0"/>
    <n v="97"/>
    <n v="5"/>
    <x v="2"/>
    <s v="2º Semestre"/>
    <x v="2"/>
    <x v="6"/>
    <n v="7"/>
  </r>
  <r>
    <n v="260"/>
    <s v="20/07/2025"/>
    <x v="1"/>
    <x v="2"/>
    <x v="2"/>
    <x v="1"/>
    <n v="93"/>
    <n v="1"/>
    <x v="2"/>
    <s v="2º Semestre"/>
    <x v="2"/>
    <x v="6"/>
    <n v="7"/>
  </r>
  <r>
    <n v="261"/>
    <s v="21/07/2025"/>
    <x v="1"/>
    <x v="2"/>
    <x v="2"/>
    <x v="1"/>
    <n v="85"/>
    <n v="3"/>
    <x v="2"/>
    <s v="2º Semestre"/>
    <x v="2"/>
    <x v="6"/>
    <n v="7"/>
  </r>
  <r>
    <n v="262"/>
    <s v="22/07/2025"/>
    <x v="4"/>
    <x v="2"/>
    <x v="2"/>
    <x v="1"/>
    <n v="13"/>
    <n v="3"/>
    <x v="2"/>
    <s v="2º Semestre"/>
    <x v="2"/>
    <x v="6"/>
    <n v="7"/>
  </r>
  <r>
    <n v="263"/>
    <s v="23/07/2025"/>
    <x v="3"/>
    <x v="0"/>
    <x v="0"/>
    <x v="0"/>
    <n v="30"/>
    <n v="1"/>
    <x v="6"/>
    <s v="2º Semestre"/>
    <x v="2"/>
    <x v="6"/>
    <n v="7"/>
  </r>
  <r>
    <n v="264"/>
    <s v="24/07/2025"/>
    <x v="2"/>
    <x v="2"/>
    <x v="2"/>
    <x v="1"/>
    <n v="50"/>
    <n v="5"/>
    <x v="2"/>
    <s v="2º Semestre"/>
    <x v="2"/>
    <x v="6"/>
    <n v="7"/>
  </r>
  <r>
    <n v="265"/>
    <s v="25/07/2025"/>
    <x v="0"/>
    <x v="0"/>
    <x v="0"/>
    <x v="0"/>
    <n v="120"/>
    <n v="2"/>
    <x v="2"/>
    <s v="2º Semestre"/>
    <x v="2"/>
    <x v="6"/>
    <n v="7"/>
  </r>
  <r>
    <n v="266"/>
    <s v="26/07/2025"/>
    <x v="2"/>
    <x v="0"/>
    <x v="0"/>
    <x v="0"/>
    <n v="50"/>
    <n v="1"/>
    <x v="2"/>
    <s v="2º Semestre"/>
    <x v="2"/>
    <x v="6"/>
    <n v="7"/>
  </r>
  <r>
    <n v="267"/>
    <s v="27/07/2025"/>
    <x v="3"/>
    <x v="2"/>
    <x v="2"/>
    <x v="1"/>
    <n v="33"/>
    <n v="1"/>
    <x v="2"/>
    <s v="2º Semestre"/>
    <x v="2"/>
    <x v="6"/>
    <n v="7"/>
  </r>
  <r>
    <n v="268"/>
    <s v="28/07/2025"/>
    <x v="1"/>
    <x v="2"/>
    <x v="2"/>
    <x v="1"/>
    <n v="88"/>
    <n v="1"/>
    <x v="6"/>
    <s v="2º Semestre"/>
    <x v="2"/>
    <x v="6"/>
    <n v="7"/>
  </r>
  <r>
    <n v="269"/>
    <s v="29/07/2025"/>
    <x v="0"/>
    <x v="0"/>
    <x v="0"/>
    <x v="0"/>
    <n v="120"/>
    <n v="3"/>
    <x v="2"/>
    <s v="2º Semestre"/>
    <x v="2"/>
    <x v="6"/>
    <n v="7"/>
  </r>
  <r>
    <n v="270"/>
    <s v="30/07/2025"/>
    <x v="3"/>
    <x v="2"/>
    <x v="2"/>
    <x v="1"/>
    <n v="21"/>
    <n v="2"/>
    <x v="2"/>
    <s v="2º Semestre"/>
    <x v="2"/>
    <x v="6"/>
    <n v="7"/>
  </r>
  <r>
    <n v="271"/>
    <s v="31/07/2025"/>
    <x v="0"/>
    <x v="0"/>
    <x v="0"/>
    <x v="0"/>
    <n v="120"/>
    <n v="1"/>
    <x v="6"/>
    <s v="2º Semestre"/>
    <x v="2"/>
    <x v="6"/>
    <n v="7"/>
  </r>
  <r>
    <n v="272"/>
    <s v="01/08/2025"/>
    <x v="3"/>
    <x v="5"/>
    <x v="6"/>
    <x v="2"/>
    <n v="30"/>
    <n v="2"/>
    <x v="2"/>
    <s v="2º Semestre"/>
    <x v="2"/>
    <x v="7"/>
    <n v="8"/>
  </r>
  <r>
    <n v="273"/>
    <s v="02/08/2025"/>
    <x v="4"/>
    <x v="2"/>
    <x v="2"/>
    <x v="1"/>
    <n v="14"/>
    <n v="4"/>
    <x v="2"/>
    <s v="2º Semestre"/>
    <x v="2"/>
    <x v="7"/>
    <n v="8"/>
  </r>
  <r>
    <n v="274"/>
    <s v="03/08/2025"/>
    <x v="3"/>
    <x v="0"/>
    <x v="0"/>
    <x v="0"/>
    <n v="21"/>
    <n v="2"/>
    <x v="6"/>
    <s v="2º Semestre"/>
    <x v="2"/>
    <x v="7"/>
    <n v="8"/>
  </r>
  <r>
    <n v="275"/>
    <s v="04/08/2025"/>
    <x v="2"/>
    <x v="2"/>
    <x v="2"/>
    <x v="1"/>
    <n v="43"/>
    <n v="1"/>
    <x v="1"/>
    <s v="2º Semestre"/>
    <x v="2"/>
    <x v="7"/>
    <n v="8"/>
  </r>
  <r>
    <n v="276"/>
    <s v="05/08/2025"/>
    <x v="1"/>
    <x v="0"/>
    <x v="0"/>
    <x v="0"/>
    <n v="90"/>
    <n v="2"/>
    <x v="2"/>
    <s v="2º Semestre"/>
    <x v="2"/>
    <x v="7"/>
    <n v="8"/>
  </r>
  <r>
    <n v="277"/>
    <s v="06/08/2025"/>
    <x v="2"/>
    <x v="5"/>
    <x v="6"/>
    <x v="2"/>
    <n v="50"/>
    <n v="3"/>
    <x v="2"/>
    <s v="2º Semestre"/>
    <x v="2"/>
    <x v="7"/>
    <n v="8"/>
  </r>
  <r>
    <n v="278"/>
    <s v="07/08/2025"/>
    <x v="3"/>
    <x v="0"/>
    <x v="0"/>
    <x v="0"/>
    <n v="32"/>
    <n v="1"/>
    <x v="2"/>
    <s v="2º Semestre"/>
    <x v="2"/>
    <x v="7"/>
    <n v="8"/>
  </r>
  <r>
    <n v="279"/>
    <s v="08/08/2025"/>
    <x v="1"/>
    <x v="2"/>
    <x v="2"/>
    <x v="1"/>
    <n v="102"/>
    <n v="1"/>
    <x v="6"/>
    <s v="2º Semestre"/>
    <x v="2"/>
    <x v="7"/>
    <n v="8"/>
  </r>
  <r>
    <n v="280"/>
    <s v="09/08/2025"/>
    <x v="2"/>
    <x v="0"/>
    <x v="0"/>
    <x v="0"/>
    <n v="50"/>
    <n v="1"/>
    <x v="6"/>
    <s v="2º Semestre"/>
    <x v="2"/>
    <x v="7"/>
    <n v="8"/>
  </r>
  <r>
    <n v="281"/>
    <s v="10/08/2025"/>
    <x v="2"/>
    <x v="2"/>
    <x v="2"/>
    <x v="1"/>
    <n v="45"/>
    <n v="5"/>
    <x v="1"/>
    <s v="2º Semestre"/>
    <x v="2"/>
    <x v="7"/>
    <n v="8"/>
  </r>
  <r>
    <n v="282"/>
    <s v="11/08/2025"/>
    <x v="4"/>
    <x v="0"/>
    <x v="0"/>
    <x v="0"/>
    <n v="13"/>
    <n v="2"/>
    <x v="6"/>
    <s v="2º Semestre"/>
    <x v="2"/>
    <x v="7"/>
    <n v="8"/>
  </r>
  <r>
    <n v="283"/>
    <s v="12/08/2025"/>
    <x v="4"/>
    <x v="2"/>
    <x v="2"/>
    <x v="1"/>
    <n v="13"/>
    <n v="3"/>
    <x v="2"/>
    <s v="2º Semestre"/>
    <x v="2"/>
    <x v="7"/>
    <n v="8"/>
  </r>
  <r>
    <n v="284"/>
    <s v="13/08/2025"/>
    <x v="1"/>
    <x v="0"/>
    <x v="0"/>
    <x v="0"/>
    <n v="100"/>
    <n v="1"/>
    <x v="1"/>
    <s v="2º Semestre"/>
    <x v="2"/>
    <x v="7"/>
    <n v="8"/>
  </r>
  <r>
    <n v="285"/>
    <s v="14/08/2025"/>
    <x v="2"/>
    <x v="0"/>
    <x v="0"/>
    <x v="0"/>
    <n v="50"/>
    <n v="1"/>
    <x v="6"/>
    <s v="2º Semestre"/>
    <x v="2"/>
    <x v="7"/>
    <n v="8"/>
  </r>
  <r>
    <n v="286"/>
    <s v="15/08/2025"/>
    <x v="2"/>
    <x v="5"/>
    <x v="6"/>
    <x v="2"/>
    <n v="50"/>
    <n v="1"/>
    <x v="6"/>
    <s v="2º Semestre"/>
    <x v="2"/>
    <x v="7"/>
    <n v="8"/>
  </r>
  <r>
    <n v="287"/>
    <s v="16/08/2025"/>
    <x v="0"/>
    <x v="0"/>
    <x v="0"/>
    <x v="0"/>
    <n v="120"/>
    <n v="1"/>
    <x v="6"/>
    <s v="2º Semestre"/>
    <x v="2"/>
    <x v="7"/>
    <n v="8"/>
  </r>
  <r>
    <n v="288"/>
    <s v="17/08/2025"/>
    <x v="4"/>
    <x v="0"/>
    <x v="0"/>
    <x v="0"/>
    <n v="30"/>
    <n v="1"/>
    <x v="2"/>
    <s v="2º Semestre"/>
    <x v="2"/>
    <x v="7"/>
    <n v="8"/>
  </r>
  <r>
    <n v="289"/>
    <s v="18/08/2025"/>
    <x v="3"/>
    <x v="5"/>
    <x v="6"/>
    <x v="2"/>
    <n v="30"/>
    <n v="2"/>
    <x v="2"/>
    <s v="2º Semestre"/>
    <x v="2"/>
    <x v="7"/>
    <n v="8"/>
  </r>
  <r>
    <n v="290"/>
    <s v="19/08/2025"/>
    <x v="4"/>
    <x v="0"/>
    <x v="0"/>
    <x v="0"/>
    <n v="29"/>
    <n v="1"/>
    <x v="6"/>
    <s v="2º Semestre"/>
    <x v="2"/>
    <x v="7"/>
    <n v="8"/>
  </r>
  <r>
    <n v="291"/>
    <s v="20/08/2025"/>
    <x v="3"/>
    <x v="2"/>
    <x v="2"/>
    <x v="1"/>
    <n v="21"/>
    <n v="2"/>
    <x v="2"/>
    <s v="2º Semestre"/>
    <x v="2"/>
    <x v="7"/>
    <n v="8"/>
  </r>
  <r>
    <n v="292"/>
    <s v="21/08/2025"/>
    <x v="0"/>
    <x v="2"/>
    <x v="2"/>
    <x v="1"/>
    <n v="120"/>
    <n v="1"/>
    <x v="6"/>
    <s v="2º Semestre"/>
    <x v="2"/>
    <x v="7"/>
    <n v="8"/>
  </r>
  <r>
    <n v="293"/>
    <s v="22/08/2025"/>
    <x v="0"/>
    <x v="5"/>
    <x v="6"/>
    <x v="2"/>
    <n v="120"/>
    <n v="5"/>
    <x v="6"/>
    <s v="2º Semestre"/>
    <x v="2"/>
    <x v="7"/>
    <n v="8"/>
  </r>
  <r>
    <n v="294"/>
    <s v="23/08/2025"/>
    <x v="3"/>
    <x v="0"/>
    <x v="0"/>
    <x v="0"/>
    <n v="30"/>
    <n v="2"/>
    <x v="1"/>
    <s v="2º Semestre"/>
    <x v="2"/>
    <x v="7"/>
    <n v="8"/>
  </r>
  <r>
    <n v="295"/>
    <s v="24/08/2025"/>
    <x v="0"/>
    <x v="5"/>
    <x v="6"/>
    <x v="2"/>
    <n v="120"/>
    <n v="1"/>
    <x v="6"/>
    <s v="2º Semestre"/>
    <x v="2"/>
    <x v="7"/>
    <n v="8"/>
  </r>
  <r>
    <n v="296"/>
    <s v="25/08/2025"/>
    <x v="3"/>
    <x v="2"/>
    <x v="2"/>
    <x v="1"/>
    <n v="30"/>
    <n v="3"/>
    <x v="6"/>
    <s v="2º Semestre"/>
    <x v="2"/>
    <x v="7"/>
    <n v="8"/>
  </r>
  <r>
    <n v="297"/>
    <s v="26/08/2025"/>
    <x v="3"/>
    <x v="5"/>
    <x v="6"/>
    <x v="2"/>
    <n v="30"/>
    <n v="1"/>
    <x v="1"/>
    <s v="2º Semestre"/>
    <x v="2"/>
    <x v="7"/>
    <n v="8"/>
  </r>
  <r>
    <n v="298"/>
    <s v="27/08/2025"/>
    <x v="1"/>
    <x v="0"/>
    <x v="0"/>
    <x v="0"/>
    <n v="101"/>
    <n v="2"/>
    <x v="6"/>
    <s v="2º Semestre"/>
    <x v="2"/>
    <x v="7"/>
    <n v="8"/>
  </r>
  <r>
    <n v="299"/>
    <s v="28/08/2025"/>
    <x v="0"/>
    <x v="0"/>
    <x v="0"/>
    <x v="0"/>
    <n v="120"/>
    <n v="1"/>
    <x v="6"/>
    <s v="2º Semestre"/>
    <x v="2"/>
    <x v="7"/>
    <n v="8"/>
  </r>
  <r>
    <n v="300"/>
    <s v="29/08/2025"/>
    <x v="4"/>
    <x v="5"/>
    <x v="6"/>
    <x v="2"/>
    <n v="21"/>
    <n v="1"/>
    <x v="1"/>
    <s v="2º Semestre"/>
    <x v="2"/>
    <x v="7"/>
    <n v="8"/>
  </r>
  <r>
    <n v="301"/>
    <s v="30/08/2025"/>
    <x v="1"/>
    <x v="0"/>
    <x v="0"/>
    <x v="0"/>
    <n v="101"/>
    <n v="2"/>
    <x v="1"/>
    <s v="2º Semestre"/>
    <x v="2"/>
    <x v="7"/>
    <n v="8"/>
  </r>
  <r>
    <n v="302"/>
    <s v="31/08/2025"/>
    <x v="1"/>
    <x v="5"/>
    <x v="6"/>
    <x v="2"/>
    <n v="89"/>
    <n v="1"/>
    <x v="1"/>
    <s v="2º Semestre"/>
    <x v="2"/>
    <x v="7"/>
    <n v="8"/>
  </r>
  <r>
    <n v="303"/>
    <s v="01/09/2025"/>
    <x v="2"/>
    <x v="5"/>
    <x v="6"/>
    <x v="2"/>
    <n v="45"/>
    <n v="2"/>
    <x v="2"/>
    <s v="2º Semestre"/>
    <x v="2"/>
    <x v="8"/>
    <n v="9"/>
  </r>
  <r>
    <n v="304"/>
    <s v="02/09/2025"/>
    <x v="3"/>
    <x v="2"/>
    <x v="2"/>
    <x v="1"/>
    <n v="30"/>
    <n v="1"/>
    <x v="2"/>
    <s v="2º Semestre"/>
    <x v="2"/>
    <x v="8"/>
    <n v="9"/>
  </r>
  <r>
    <n v="305"/>
    <s v="03/09/2025"/>
    <x v="2"/>
    <x v="2"/>
    <x v="2"/>
    <x v="1"/>
    <n v="50"/>
    <n v="3"/>
    <x v="2"/>
    <s v="2º Semestre"/>
    <x v="2"/>
    <x v="8"/>
    <n v="9"/>
  </r>
  <r>
    <n v="306"/>
    <s v="04/09/2025"/>
    <x v="4"/>
    <x v="2"/>
    <x v="2"/>
    <x v="1"/>
    <n v="30"/>
    <n v="2"/>
    <x v="6"/>
    <s v="2º Semestre"/>
    <x v="2"/>
    <x v="8"/>
    <n v="9"/>
  </r>
  <r>
    <n v="307"/>
    <s v="05/09/2025"/>
    <x v="0"/>
    <x v="0"/>
    <x v="0"/>
    <x v="0"/>
    <n v="120"/>
    <n v="1"/>
    <x v="6"/>
    <s v="2º Semestre"/>
    <x v="2"/>
    <x v="8"/>
    <n v="9"/>
  </r>
  <r>
    <n v="308"/>
    <s v="06/09/2025"/>
    <x v="4"/>
    <x v="2"/>
    <x v="2"/>
    <x v="1"/>
    <n v="30"/>
    <n v="1"/>
    <x v="6"/>
    <s v="2º Semestre"/>
    <x v="2"/>
    <x v="8"/>
    <n v="9"/>
  </r>
  <r>
    <n v="309"/>
    <s v="07/09/2025"/>
    <x v="4"/>
    <x v="0"/>
    <x v="0"/>
    <x v="0"/>
    <n v="30"/>
    <n v="1"/>
    <x v="6"/>
    <s v="2º Semestre"/>
    <x v="2"/>
    <x v="8"/>
    <n v="9"/>
  </r>
  <r>
    <n v="310"/>
    <s v="08/09/2025"/>
    <x v="2"/>
    <x v="0"/>
    <x v="0"/>
    <x v="0"/>
    <n v="50"/>
    <n v="4"/>
    <x v="2"/>
    <s v="2º Semestre"/>
    <x v="2"/>
    <x v="8"/>
    <n v="9"/>
  </r>
  <r>
    <n v="311"/>
    <s v="09/09/2025"/>
    <x v="2"/>
    <x v="2"/>
    <x v="2"/>
    <x v="1"/>
    <n v="44"/>
    <n v="1"/>
    <x v="6"/>
    <s v="2º Semestre"/>
    <x v="2"/>
    <x v="8"/>
    <n v="9"/>
  </r>
  <r>
    <n v="312"/>
    <s v="10/09/2025"/>
    <x v="3"/>
    <x v="2"/>
    <x v="2"/>
    <x v="1"/>
    <n v="30"/>
    <n v="1"/>
    <x v="2"/>
    <s v="2º Semestre"/>
    <x v="2"/>
    <x v="8"/>
    <n v="9"/>
  </r>
  <r>
    <n v="313"/>
    <s v="11/09/2025"/>
    <x v="2"/>
    <x v="5"/>
    <x v="6"/>
    <x v="2"/>
    <n v="50"/>
    <n v="2"/>
    <x v="1"/>
    <s v="2º Semestre"/>
    <x v="2"/>
    <x v="8"/>
    <n v="9"/>
  </r>
  <r>
    <n v="314"/>
    <s v="12/09/2025"/>
    <x v="1"/>
    <x v="0"/>
    <x v="0"/>
    <x v="0"/>
    <n v="90"/>
    <n v="2"/>
    <x v="2"/>
    <s v="2º Semestre"/>
    <x v="2"/>
    <x v="8"/>
    <n v="9"/>
  </r>
  <r>
    <n v="315"/>
    <s v="13/09/2025"/>
    <x v="1"/>
    <x v="0"/>
    <x v="0"/>
    <x v="0"/>
    <n v="102"/>
    <n v="1"/>
    <x v="1"/>
    <s v="2º Semestre"/>
    <x v="2"/>
    <x v="8"/>
    <n v="9"/>
  </r>
  <r>
    <n v="316"/>
    <s v="14/09/2025"/>
    <x v="0"/>
    <x v="0"/>
    <x v="0"/>
    <x v="0"/>
    <n v="120"/>
    <n v="2"/>
    <x v="2"/>
    <s v="2º Semestre"/>
    <x v="2"/>
    <x v="8"/>
    <n v="9"/>
  </r>
  <r>
    <n v="317"/>
    <s v="15/09/2025"/>
    <x v="0"/>
    <x v="2"/>
    <x v="2"/>
    <x v="1"/>
    <n v="120"/>
    <n v="1"/>
    <x v="2"/>
    <s v="2º Semestre"/>
    <x v="2"/>
    <x v="8"/>
    <n v="9"/>
  </r>
  <r>
    <n v="318"/>
    <s v="16/09/2025"/>
    <x v="1"/>
    <x v="2"/>
    <x v="2"/>
    <x v="1"/>
    <n v="90"/>
    <n v="1"/>
    <x v="1"/>
    <s v="2º Semestre"/>
    <x v="2"/>
    <x v="8"/>
    <n v="9"/>
  </r>
  <r>
    <n v="319"/>
    <s v="17/09/2025"/>
    <x v="4"/>
    <x v="2"/>
    <x v="2"/>
    <x v="1"/>
    <n v="17"/>
    <n v="1"/>
    <x v="6"/>
    <s v="2º Semestre"/>
    <x v="2"/>
    <x v="8"/>
    <n v="9"/>
  </r>
  <r>
    <n v="320"/>
    <s v="18/09/2025"/>
    <x v="0"/>
    <x v="5"/>
    <x v="6"/>
    <x v="2"/>
    <n v="120"/>
    <n v="1"/>
    <x v="4"/>
    <s v="2º Semestre"/>
    <x v="2"/>
    <x v="8"/>
    <n v="9"/>
  </r>
  <r>
    <n v="321"/>
    <s v="19/09/2025"/>
    <x v="1"/>
    <x v="2"/>
    <x v="2"/>
    <x v="1"/>
    <n v="102"/>
    <n v="1"/>
    <x v="6"/>
    <s v="2º Semestre"/>
    <x v="2"/>
    <x v="8"/>
    <n v="9"/>
  </r>
  <r>
    <n v="322"/>
    <s v="20/09/2025"/>
    <x v="2"/>
    <x v="0"/>
    <x v="0"/>
    <x v="0"/>
    <n v="44"/>
    <n v="1"/>
    <x v="6"/>
    <s v="2º Semestre"/>
    <x v="2"/>
    <x v="8"/>
    <n v="9"/>
  </r>
  <r>
    <n v="323"/>
    <s v="21/09/2025"/>
    <x v="3"/>
    <x v="0"/>
    <x v="0"/>
    <x v="0"/>
    <n v="25"/>
    <n v="1"/>
    <x v="4"/>
    <s v="2º Semestre"/>
    <x v="2"/>
    <x v="8"/>
    <n v="9"/>
  </r>
  <r>
    <n v="324"/>
    <s v="22/09/2025"/>
    <x v="2"/>
    <x v="0"/>
    <x v="0"/>
    <x v="0"/>
    <n v="33"/>
    <n v="1"/>
    <x v="6"/>
    <s v="2º Semestre"/>
    <x v="2"/>
    <x v="8"/>
    <n v="9"/>
  </r>
  <r>
    <n v="325"/>
    <s v="23/09/2025"/>
    <x v="0"/>
    <x v="0"/>
    <x v="0"/>
    <x v="0"/>
    <n v="120"/>
    <n v="3"/>
    <x v="6"/>
    <s v="2º Semestre"/>
    <x v="2"/>
    <x v="8"/>
    <n v="9"/>
  </r>
  <r>
    <n v="326"/>
    <s v="24/09/2025"/>
    <x v="3"/>
    <x v="0"/>
    <x v="0"/>
    <x v="0"/>
    <n v="30"/>
    <n v="4"/>
    <x v="4"/>
    <s v="2º Semestre"/>
    <x v="2"/>
    <x v="8"/>
    <n v="9"/>
  </r>
  <r>
    <n v="327"/>
    <s v="25/09/2025"/>
    <x v="4"/>
    <x v="5"/>
    <x v="6"/>
    <x v="2"/>
    <n v="17"/>
    <n v="1"/>
    <x v="2"/>
    <s v="2º Semestre"/>
    <x v="2"/>
    <x v="8"/>
    <n v="9"/>
  </r>
  <r>
    <n v="328"/>
    <s v="26/09/2025"/>
    <x v="0"/>
    <x v="0"/>
    <x v="0"/>
    <x v="0"/>
    <n v="120"/>
    <n v="1"/>
    <x v="1"/>
    <s v="2º Semestre"/>
    <x v="2"/>
    <x v="8"/>
    <n v="9"/>
  </r>
  <r>
    <n v="329"/>
    <s v="27/09/2025"/>
    <x v="1"/>
    <x v="5"/>
    <x v="6"/>
    <x v="2"/>
    <n v="100"/>
    <n v="1"/>
    <x v="6"/>
    <s v="2º Semestre"/>
    <x v="2"/>
    <x v="8"/>
    <n v="9"/>
  </r>
  <r>
    <n v="330"/>
    <s v="28/09/2025"/>
    <x v="4"/>
    <x v="2"/>
    <x v="2"/>
    <x v="1"/>
    <n v="21"/>
    <n v="1"/>
    <x v="6"/>
    <s v="2º Semestre"/>
    <x v="2"/>
    <x v="8"/>
    <n v="9"/>
  </r>
  <r>
    <n v="331"/>
    <s v="29/09/2025"/>
    <x v="3"/>
    <x v="0"/>
    <x v="0"/>
    <x v="0"/>
    <n v="30"/>
    <n v="1"/>
    <x v="6"/>
    <s v="2º Semestre"/>
    <x v="2"/>
    <x v="8"/>
    <n v="9"/>
  </r>
  <r>
    <n v="332"/>
    <s v="30/09/2025"/>
    <x v="4"/>
    <x v="2"/>
    <x v="2"/>
    <x v="1"/>
    <n v="20"/>
    <n v="3"/>
    <x v="1"/>
    <s v="2º Semestre"/>
    <x v="2"/>
    <x v="8"/>
    <n v="9"/>
  </r>
  <r>
    <n v="333"/>
    <s v="01/10/2025"/>
    <x v="0"/>
    <x v="0"/>
    <x v="0"/>
    <x v="0"/>
    <n v="109"/>
    <n v="2"/>
    <x v="6"/>
    <s v="2º Semestre"/>
    <x v="3"/>
    <x v="9"/>
    <n v="10"/>
  </r>
  <r>
    <n v="334"/>
    <s v="02/10/2025"/>
    <x v="2"/>
    <x v="5"/>
    <x v="6"/>
    <x v="2"/>
    <n v="50"/>
    <n v="1"/>
    <x v="1"/>
    <s v="2º Semestre"/>
    <x v="3"/>
    <x v="9"/>
    <n v="10"/>
  </r>
  <r>
    <n v="335"/>
    <s v="03/10/2025"/>
    <x v="2"/>
    <x v="0"/>
    <x v="0"/>
    <x v="0"/>
    <n v="45"/>
    <n v="1"/>
    <x v="6"/>
    <s v="2º Semestre"/>
    <x v="3"/>
    <x v="9"/>
    <n v="10"/>
  </r>
  <r>
    <n v="336"/>
    <s v="04/10/2025"/>
    <x v="3"/>
    <x v="0"/>
    <x v="0"/>
    <x v="0"/>
    <n v="25"/>
    <n v="2"/>
    <x v="6"/>
    <s v="2º Semestre"/>
    <x v="3"/>
    <x v="9"/>
    <n v="10"/>
  </r>
  <r>
    <n v="337"/>
    <s v="05/10/2025"/>
    <x v="0"/>
    <x v="0"/>
    <x v="0"/>
    <x v="0"/>
    <n v="110"/>
    <n v="1"/>
    <x v="6"/>
    <s v="2º Semestre"/>
    <x v="3"/>
    <x v="9"/>
    <n v="10"/>
  </r>
  <r>
    <n v="338"/>
    <s v="06/10/2025"/>
    <x v="4"/>
    <x v="0"/>
    <x v="0"/>
    <x v="0"/>
    <n v="30"/>
    <n v="1"/>
    <x v="1"/>
    <s v="2º Semestre"/>
    <x v="3"/>
    <x v="9"/>
    <n v="10"/>
  </r>
  <r>
    <n v="339"/>
    <s v="07/10/2025"/>
    <x v="2"/>
    <x v="0"/>
    <x v="0"/>
    <x v="0"/>
    <n v="50"/>
    <n v="5"/>
    <x v="6"/>
    <s v="2º Semestre"/>
    <x v="3"/>
    <x v="9"/>
    <n v="10"/>
  </r>
  <r>
    <n v="340"/>
    <s v="08/10/2025"/>
    <x v="0"/>
    <x v="2"/>
    <x v="2"/>
    <x v="1"/>
    <n v="105"/>
    <n v="1"/>
    <x v="2"/>
    <s v="2º Semestre"/>
    <x v="3"/>
    <x v="9"/>
    <n v="10"/>
  </r>
  <r>
    <n v="341"/>
    <s v="09/10/2025"/>
    <x v="1"/>
    <x v="0"/>
    <x v="0"/>
    <x v="0"/>
    <n v="90"/>
    <n v="1"/>
    <x v="6"/>
    <s v="2º Semestre"/>
    <x v="3"/>
    <x v="9"/>
    <n v="10"/>
  </r>
  <r>
    <n v="342"/>
    <s v="10/10/2025"/>
    <x v="1"/>
    <x v="2"/>
    <x v="2"/>
    <x v="1"/>
    <n v="99"/>
    <n v="1"/>
    <x v="6"/>
    <s v="2º Semestre"/>
    <x v="3"/>
    <x v="9"/>
    <n v="10"/>
  </r>
  <r>
    <n v="343"/>
    <s v="11/10/2025"/>
    <x v="0"/>
    <x v="5"/>
    <x v="6"/>
    <x v="2"/>
    <n v="105"/>
    <n v="1"/>
    <x v="6"/>
    <s v="2º Semestre"/>
    <x v="3"/>
    <x v="9"/>
    <n v="10"/>
  </r>
  <r>
    <n v="344"/>
    <s v="12/10/2025"/>
    <x v="0"/>
    <x v="0"/>
    <x v="0"/>
    <x v="0"/>
    <n v="123"/>
    <n v="2"/>
    <x v="2"/>
    <s v="2º Semestre"/>
    <x v="3"/>
    <x v="9"/>
    <n v="10"/>
  </r>
  <r>
    <n v="345"/>
    <s v="13/10/2025"/>
    <x v="4"/>
    <x v="2"/>
    <x v="2"/>
    <x v="1"/>
    <n v="30"/>
    <n v="5"/>
    <x v="1"/>
    <s v="2º Semestre"/>
    <x v="3"/>
    <x v="9"/>
    <n v="10"/>
  </r>
  <r>
    <n v="346"/>
    <s v="14/10/2025"/>
    <x v="0"/>
    <x v="0"/>
    <x v="0"/>
    <x v="0"/>
    <n v="122"/>
    <n v="1"/>
    <x v="6"/>
    <s v="2º Semestre"/>
    <x v="3"/>
    <x v="9"/>
    <n v="10"/>
  </r>
  <r>
    <n v="347"/>
    <s v="15/10/2025"/>
    <x v="1"/>
    <x v="2"/>
    <x v="2"/>
    <x v="1"/>
    <n v="91"/>
    <n v="2"/>
    <x v="6"/>
    <s v="2º Semestre"/>
    <x v="3"/>
    <x v="9"/>
    <n v="10"/>
  </r>
  <r>
    <n v="348"/>
    <s v="16/10/2025"/>
    <x v="0"/>
    <x v="2"/>
    <x v="2"/>
    <x v="1"/>
    <n v="125"/>
    <n v="1"/>
    <x v="1"/>
    <s v="2º Semestre"/>
    <x v="3"/>
    <x v="9"/>
    <n v="10"/>
  </r>
  <r>
    <n v="349"/>
    <s v="17/10/2025"/>
    <x v="3"/>
    <x v="5"/>
    <x v="6"/>
    <x v="2"/>
    <n v="30"/>
    <n v="1"/>
    <x v="1"/>
    <s v="2º Semestre"/>
    <x v="3"/>
    <x v="9"/>
    <n v="10"/>
  </r>
  <r>
    <n v="350"/>
    <s v="18/10/2025"/>
    <x v="4"/>
    <x v="2"/>
    <x v="2"/>
    <x v="1"/>
    <n v="30"/>
    <n v="1"/>
    <x v="6"/>
    <s v="2º Semestre"/>
    <x v="3"/>
    <x v="9"/>
    <n v="10"/>
  </r>
  <r>
    <n v="351"/>
    <s v="19/10/2025"/>
    <x v="0"/>
    <x v="0"/>
    <x v="0"/>
    <x v="0"/>
    <n v="109"/>
    <n v="1"/>
    <x v="1"/>
    <s v="2º Semestre"/>
    <x v="3"/>
    <x v="9"/>
    <n v="10"/>
  </r>
  <r>
    <n v="352"/>
    <s v="20/10/2025"/>
    <x v="4"/>
    <x v="5"/>
    <x v="6"/>
    <x v="2"/>
    <n v="30"/>
    <n v="2"/>
    <x v="6"/>
    <s v="2º Semestre"/>
    <x v="3"/>
    <x v="9"/>
    <n v="10"/>
  </r>
  <r>
    <n v="353"/>
    <s v="21/10/2025"/>
    <x v="0"/>
    <x v="0"/>
    <x v="0"/>
    <x v="0"/>
    <n v="107"/>
    <n v="2"/>
    <x v="6"/>
    <s v="2º Semestre"/>
    <x v="3"/>
    <x v="9"/>
    <n v="10"/>
  </r>
  <r>
    <n v="354"/>
    <s v="22/10/2025"/>
    <x v="3"/>
    <x v="0"/>
    <x v="0"/>
    <x v="0"/>
    <n v="25"/>
    <n v="1"/>
    <x v="6"/>
    <s v="2º Semestre"/>
    <x v="3"/>
    <x v="9"/>
    <n v="10"/>
  </r>
  <r>
    <n v="355"/>
    <s v="23/10/2025"/>
    <x v="3"/>
    <x v="2"/>
    <x v="2"/>
    <x v="1"/>
    <n v="23"/>
    <n v="2"/>
    <x v="6"/>
    <s v="2º Semestre"/>
    <x v="3"/>
    <x v="9"/>
    <n v="10"/>
  </r>
  <r>
    <n v="356"/>
    <s v="24/10/2025"/>
    <x v="2"/>
    <x v="0"/>
    <x v="0"/>
    <x v="0"/>
    <n v="33"/>
    <n v="2"/>
    <x v="2"/>
    <s v="2º Semestre"/>
    <x v="3"/>
    <x v="9"/>
    <n v="10"/>
  </r>
  <r>
    <n v="357"/>
    <s v="25/10/2025"/>
    <x v="0"/>
    <x v="2"/>
    <x v="2"/>
    <x v="1"/>
    <n v="107"/>
    <n v="2"/>
    <x v="2"/>
    <s v="2º Semestre"/>
    <x v="3"/>
    <x v="9"/>
    <n v="10"/>
  </r>
  <r>
    <n v="358"/>
    <s v="26/10/2025"/>
    <x v="1"/>
    <x v="2"/>
    <x v="2"/>
    <x v="1"/>
    <n v="90"/>
    <n v="2"/>
    <x v="6"/>
    <s v="2º Semestre"/>
    <x v="3"/>
    <x v="9"/>
    <n v="10"/>
  </r>
  <r>
    <n v="359"/>
    <s v="27/10/2025"/>
    <x v="4"/>
    <x v="0"/>
    <x v="0"/>
    <x v="0"/>
    <n v="30"/>
    <n v="1"/>
    <x v="2"/>
    <s v="2º Semestre"/>
    <x v="3"/>
    <x v="9"/>
    <n v="10"/>
  </r>
  <r>
    <n v="360"/>
    <s v="28/10/2025"/>
    <x v="2"/>
    <x v="5"/>
    <x v="6"/>
    <x v="2"/>
    <n v="50"/>
    <n v="2"/>
    <x v="2"/>
    <s v="2º Semestre"/>
    <x v="3"/>
    <x v="9"/>
    <n v="10"/>
  </r>
  <r>
    <n v="361"/>
    <s v="29/10/2025"/>
    <x v="3"/>
    <x v="0"/>
    <x v="0"/>
    <x v="0"/>
    <n v="22"/>
    <n v="1"/>
    <x v="2"/>
    <s v="2º Semestre"/>
    <x v="3"/>
    <x v="9"/>
    <n v="10"/>
  </r>
  <r>
    <n v="362"/>
    <s v="30/10/2025"/>
    <x v="3"/>
    <x v="2"/>
    <x v="2"/>
    <x v="1"/>
    <n v="21"/>
    <n v="1"/>
    <x v="1"/>
    <s v="2º Semestre"/>
    <x v="3"/>
    <x v="9"/>
    <n v="10"/>
  </r>
  <r>
    <n v="363"/>
    <s v="31/10/2025"/>
    <x v="1"/>
    <x v="0"/>
    <x v="0"/>
    <x v="0"/>
    <n v="94"/>
    <n v="1"/>
    <x v="6"/>
    <s v="2º Semestre"/>
    <x v="3"/>
    <x v="9"/>
    <n v="10"/>
  </r>
  <r>
    <n v="364"/>
    <s v="01/11/2025"/>
    <x v="3"/>
    <x v="2"/>
    <x v="2"/>
    <x v="1"/>
    <n v="30"/>
    <n v="2"/>
    <x v="1"/>
    <s v="2º Semestre"/>
    <x v="3"/>
    <x v="10"/>
    <n v="11"/>
  </r>
  <r>
    <n v="365"/>
    <s v="02/11/2025"/>
    <x v="1"/>
    <x v="0"/>
    <x v="0"/>
    <x v="0"/>
    <n v="92"/>
    <n v="2"/>
    <x v="6"/>
    <s v="2º Semestre"/>
    <x v="3"/>
    <x v="10"/>
    <n v="11"/>
  </r>
  <r>
    <n v="366"/>
    <s v="03/11/2025"/>
    <x v="1"/>
    <x v="2"/>
    <x v="2"/>
    <x v="1"/>
    <n v="91"/>
    <n v="4"/>
    <x v="2"/>
    <s v="2º Semestre"/>
    <x v="3"/>
    <x v="10"/>
    <n v="11"/>
  </r>
  <r>
    <n v="367"/>
    <s v="04/11/2025"/>
    <x v="4"/>
    <x v="2"/>
    <x v="2"/>
    <x v="1"/>
    <n v="30"/>
    <n v="2"/>
    <x v="2"/>
    <s v="2º Semestre"/>
    <x v="3"/>
    <x v="10"/>
    <n v="11"/>
  </r>
  <r>
    <n v="368"/>
    <s v="05/11/2025"/>
    <x v="0"/>
    <x v="5"/>
    <x v="6"/>
    <x v="2"/>
    <n v="120"/>
    <n v="5"/>
    <x v="2"/>
    <s v="2º Semestre"/>
    <x v="3"/>
    <x v="10"/>
    <n v="11"/>
  </r>
  <r>
    <n v="369"/>
    <s v="06/11/2025"/>
    <x v="1"/>
    <x v="2"/>
    <x v="2"/>
    <x v="1"/>
    <n v="90"/>
    <n v="1"/>
    <x v="6"/>
    <s v="2º Semestre"/>
    <x v="3"/>
    <x v="10"/>
    <n v="11"/>
  </r>
  <r>
    <n v="370"/>
    <s v="07/11/2025"/>
    <x v="0"/>
    <x v="0"/>
    <x v="0"/>
    <x v="0"/>
    <n v="112"/>
    <n v="2"/>
    <x v="6"/>
    <s v="2º Semestre"/>
    <x v="3"/>
    <x v="10"/>
    <n v="11"/>
  </r>
  <r>
    <n v="371"/>
    <s v="08/11/2025"/>
    <x v="1"/>
    <x v="0"/>
    <x v="0"/>
    <x v="0"/>
    <n v="101"/>
    <n v="1"/>
    <x v="2"/>
    <s v="2º Semestre"/>
    <x v="3"/>
    <x v="10"/>
    <n v="11"/>
  </r>
  <r>
    <n v="372"/>
    <s v="09/11/2025"/>
    <x v="0"/>
    <x v="2"/>
    <x v="2"/>
    <x v="1"/>
    <n v="112"/>
    <n v="2"/>
    <x v="6"/>
    <s v="2º Semestre"/>
    <x v="3"/>
    <x v="10"/>
    <n v="11"/>
  </r>
  <r>
    <n v="373"/>
    <s v="10/11/2025"/>
    <x v="4"/>
    <x v="2"/>
    <x v="2"/>
    <x v="1"/>
    <n v="35"/>
    <n v="1"/>
    <x v="1"/>
    <s v="2º Semestre"/>
    <x v="3"/>
    <x v="10"/>
    <n v="11"/>
  </r>
  <r>
    <n v="374"/>
    <s v="11/11/2025"/>
    <x v="2"/>
    <x v="0"/>
    <x v="0"/>
    <x v="0"/>
    <n v="50"/>
    <n v="1"/>
    <x v="1"/>
    <s v="2º Semestre"/>
    <x v="3"/>
    <x v="10"/>
    <n v="11"/>
  </r>
  <r>
    <n v="375"/>
    <s v="12/11/2025"/>
    <x v="2"/>
    <x v="2"/>
    <x v="2"/>
    <x v="1"/>
    <n v="33"/>
    <n v="1"/>
    <x v="2"/>
    <s v="2º Semestre"/>
    <x v="3"/>
    <x v="10"/>
    <n v="11"/>
  </r>
  <r>
    <n v="376"/>
    <s v="13/11/2025"/>
    <x v="2"/>
    <x v="2"/>
    <x v="2"/>
    <x v="1"/>
    <n v="50"/>
    <n v="1"/>
    <x v="1"/>
    <s v="2º Semestre"/>
    <x v="3"/>
    <x v="10"/>
    <n v="11"/>
  </r>
  <r>
    <n v="377"/>
    <s v="14/11/2025"/>
    <x v="2"/>
    <x v="0"/>
    <x v="0"/>
    <x v="0"/>
    <n v="50"/>
    <n v="1"/>
    <x v="2"/>
    <s v="2º Semestre"/>
    <x v="3"/>
    <x v="10"/>
    <n v="11"/>
  </r>
  <r>
    <n v="378"/>
    <s v="15/11/2025"/>
    <x v="4"/>
    <x v="0"/>
    <x v="0"/>
    <x v="0"/>
    <n v="27"/>
    <n v="2"/>
    <x v="2"/>
    <s v="2º Semestre"/>
    <x v="3"/>
    <x v="10"/>
    <n v="11"/>
  </r>
  <r>
    <n v="379"/>
    <s v="16/11/2025"/>
    <x v="4"/>
    <x v="5"/>
    <x v="6"/>
    <x v="2"/>
    <n v="27"/>
    <n v="2"/>
    <x v="1"/>
    <s v="2º Semestre"/>
    <x v="3"/>
    <x v="10"/>
    <n v="11"/>
  </r>
  <r>
    <n v="380"/>
    <s v="17/11/2025"/>
    <x v="1"/>
    <x v="0"/>
    <x v="0"/>
    <x v="0"/>
    <n v="102"/>
    <n v="1"/>
    <x v="4"/>
    <s v="2º Semestre"/>
    <x v="3"/>
    <x v="10"/>
    <n v="11"/>
  </r>
  <r>
    <n v="381"/>
    <s v="18/11/2025"/>
    <x v="1"/>
    <x v="2"/>
    <x v="2"/>
    <x v="1"/>
    <n v="88"/>
    <n v="2"/>
    <x v="2"/>
    <s v="2º Semestre"/>
    <x v="3"/>
    <x v="10"/>
    <n v="11"/>
  </r>
  <r>
    <n v="382"/>
    <s v="19/11/2025"/>
    <x v="3"/>
    <x v="0"/>
    <x v="0"/>
    <x v="0"/>
    <n v="23"/>
    <n v="1"/>
    <x v="6"/>
    <s v="2º Semestre"/>
    <x v="3"/>
    <x v="10"/>
    <n v="11"/>
  </r>
  <r>
    <n v="383"/>
    <s v="20/11/2025"/>
    <x v="1"/>
    <x v="0"/>
    <x v="0"/>
    <x v="0"/>
    <n v="84"/>
    <n v="1"/>
    <x v="2"/>
    <s v="2º Semestre"/>
    <x v="3"/>
    <x v="10"/>
    <n v="11"/>
  </r>
  <r>
    <n v="384"/>
    <s v="21/11/2025"/>
    <x v="4"/>
    <x v="5"/>
    <x v="6"/>
    <x v="2"/>
    <n v="22"/>
    <n v="2"/>
    <x v="1"/>
    <s v="2º Semestre"/>
    <x v="3"/>
    <x v="10"/>
    <n v="11"/>
  </r>
  <r>
    <n v="385"/>
    <s v="22/11/2025"/>
    <x v="0"/>
    <x v="2"/>
    <x v="2"/>
    <x v="1"/>
    <n v="111"/>
    <n v="2"/>
    <x v="1"/>
    <s v="2º Semestre"/>
    <x v="3"/>
    <x v="10"/>
    <n v="11"/>
  </r>
  <r>
    <n v="386"/>
    <s v="23/11/2025"/>
    <x v="1"/>
    <x v="5"/>
    <x v="6"/>
    <x v="2"/>
    <n v="81"/>
    <n v="5"/>
    <x v="1"/>
    <s v="2º Semestre"/>
    <x v="3"/>
    <x v="10"/>
    <n v="11"/>
  </r>
  <r>
    <n v="387"/>
    <s v="24/11/2025"/>
    <x v="4"/>
    <x v="2"/>
    <x v="2"/>
    <x v="1"/>
    <n v="22"/>
    <n v="2"/>
    <x v="2"/>
    <s v="2º Semestre"/>
    <x v="3"/>
    <x v="10"/>
    <n v="11"/>
  </r>
  <r>
    <n v="388"/>
    <s v="25/11/2025"/>
    <x v="3"/>
    <x v="2"/>
    <x v="2"/>
    <x v="1"/>
    <n v="30"/>
    <n v="1"/>
    <x v="4"/>
    <s v="2º Semestre"/>
    <x v="3"/>
    <x v="10"/>
    <n v="11"/>
  </r>
  <r>
    <n v="389"/>
    <s v="26/11/2025"/>
    <x v="2"/>
    <x v="0"/>
    <x v="0"/>
    <x v="0"/>
    <n v="35"/>
    <n v="5"/>
    <x v="2"/>
    <s v="2º Semestre"/>
    <x v="3"/>
    <x v="10"/>
    <n v="11"/>
  </r>
  <r>
    <n v="390"/>
    <s v="27/11/2025"/>
    <x v="4"/>
    <x v="0"/>
    <x v="0"/>
    <x v="0"/>
    <n v="29"/>
    <n v="2"/>
    <x v="2"/>
    <s v="2º Semestre"/>
    <x v="3"/>
    <x v="10"/>
    <n v="11"/>
  </r>
  <r>
    <n v="391"/>
    <s v="28/11/2025"/>
    <x v="2"/>
    <x v="0"/>
    <x v="0"/>
    <x v="0"/>
    <n v="50"/>
    <n v="2"/>
    <x v="2"/>
    <s v="2º Semestre"/>
    <x v="3"/>
    <x v="10"/>
    <n v="11"/>
  </r>
  <r>
    <n v="392"/>
    <s v="29/11/2025"/>
    <x v="1"/>
    <x v="0"/>
    <x v="0"/>
    <x v="0"/>
    <n v="87"/>
    <n v="2"/>
    <x v="2"/>
    <s v="2º Semestre"/>
    <x v="3"/>
    <x v="10"/>
    <n v="11"/>
  </r>
  <r>
    <n v="393"/>
    <s v="30/11/2025"/>
    <x v="1"/>
    <x v="0"/>
    <x v="0"/>
    <x v="0"/>
    <n v="80"/>
    <n v="1"/>
    <x v="6"/>
    <s v="2º Semestre"/>
    <x v="3"/>
    <x v="10"/>
    <n v="11"/>
  </r>
  <r>
    <n v="394"/>
    <s v="01/12/2025"/>
    <x v="4"/>
    <x v="0"/>
    <x v="0"/>
    <x v="0"/>
    <n v="27"/>
    <n v="1"/>
    <x v="2"/>
    <s v="2º Semestre"/>
    <x v="3"/>
    <x v="11"/>
    <n v="12"/>
  </r>
  <r>
    <n v="395"/>
    <s v="02/12/2025"/>
    <x v="4"/>
    <x v="0"/>
    <x v="0"/>
    <x v="0"/>
    <n v="27"/>
    <n v="1"/>
    <x v="2"/>
    <s v="2º Semestre"/>
    <x v="3"/>
    <x v="11"/>
    <n v="12"/>
  </r>
  <r>
    <n v="396"/>
    <s v="03/12/2025"/>
    <x v="4"/>
    <x v="5"/>
    <x v="6"/>
    <x v="2"/>
    <n v="22"/>
    <n v="1"/>
    <x v="2"/>
    <s v="2º Semestre"/>
    <x v="3"/>
    <x v="11"/>
    <n v="12"/>
  </r>
  <r>
    <n v="397"/>
    <s v="04/12/2025"/>
    <x v="1"/>
    <x v="0"/>
    <x v="0"/>
    <x v="0"/>
    <n v="80"/>
    <n v="1"/>
    <x v="1"/>
    <s v="2º Semestre"/>
    <x v="3"/>
    <x v="11"/>
    <n v="12"/>
  </r>
  <r>
    <n v="398"/>
    <s v="05/12/2025"/>
    <x v="0"/>
    <x v="0"/>
    <x v="0"/>
    <x v="0"/>
    <n v="130"/>
    <n v="3"/>
    <x v="2"/>
    <s v="2º Semestre"/>
    <x v="3"/>
    <x v="11"/>
    <n v="12"/>
  </r>
  <r>
    <n v="399"/>
    <s v="06/12/2025"/>
    <x v="1"/>
    <x v="0"/>
    <x v="0"/>
    <x v="0"/>
    <n v="85"/>
    <n v="1"/>
    <x v="6"/>
    <s v="2º Semestre"/>
    <x v="3"/>
    <x v="11"/>
    <n v="12"/>
  </r>
  <r>
    <n v="400"/>
    <s v="07/12/2025"/>
    <x v="2"/>
    <x v="0"/>
    <x v="0"/>
    <x v="0"/>
    <n v="50"/>
    <n v="1"/>
    <x v="2"/>
    <s v="2º Semestre"/>
    <x v="3"/>
    <x v="11"/>
    <n v="12"/>
  </r>
  <r>
    <n v="401"/>
    <s v="08/12/2025"/>
    <x v="2"/>
    <x v="2"/>
    <x v="2"/>
    <x v="1"/>
    <n v="50"/>
    <n v="1"/>
    <x v="1"/>
    <s v="2º Semestre"/>
    <x v="3"/>
    <x v="11"/>
    <n v="12"/>
  </r>
  <r>
    <n v="402"/>
    <s v="09/12/2025"/>
    <x v="4"/>
    <x v="0"/>
    <x v="0"/>
    <x v="0"/>
    <n v="21"/>
    <n v="1"/>
    <x v="4"/>
    <s v="2º Semestre"/>
    <x v="3"/>
    <x v="11"/>
    <n v="12"/>
  </r>
  <r>
    <n v="403"/>
    <s v="10/12/2025"/>
    <x v="2"/>
    <x v="0"/>
    <x v="0"/>
    <x v="0"/>
    <n v="35"/>
    <n v="2"/>
    <x v="2"/>
    <s v="2º Semestre"/>
    <x v="3"/>
    <x v="11"/>
    <n v="12"/>
  </r>
  <r>
    <n v="404"/>
    <s v="11/12/2025"/>
    <x v="4"/>
    <x v="2"/>
    <x v="2"/>
    <x v="1"/>
    <n v="32"/>
    <n v="3"/>
    <x v="6"/>
    <s v="2º Semestre"/>
    <x v="3"/>
    <x v="11"/>
    <n v="12"/>
  </r>
  <r>
    <n v="405"/>
    <s v="12/12/2025"/>
    <x v="0"/>
    <x v="0"/>
    <x v="0"/>
    <x v="0"/>
    <n v="122"/>
    <n v="1"/>
    <x v="4"/>
    <s v="2º Semestre"/>
    <x v="3"/>
    <x v="11"/>
    <n v="12"/>
  </r>
  <r>
    <n v="406"/>
    <s v="13/12/2025"/>
    <x v="3"/>
    <x v="2"/>
    <x v="2"/>
    <x v="1"/>
    <n v="32"/>
    <n v="2"/>
    <x v="0"/>
    <s v="2º Semestre"/>
    <x v="3"/>
    <x v="11"/>
    <n v="12"/>
  </r>
  <r>
    <n v="407"/>
    <s v="14/12/2025"/>
    <x v="0"/>
    <x v="5"/>
    <x v="6"/>
    <x v="2"/>
    <n v="130"/>
    <n v="1"/>
    <x v="3"/>
    <s v="2º Semestre"/>
    <x v="3"/>
    <x v="11"/>
    <n v="12"/>
  </r>
  <r>
    <n v="408"/>
    <s v="15/12/2025"/>
    <x v="2"/>
    <x v="0"/>
    <x v="0"/>
    <x v="0"/>
    <n v="50"/>
    <n v="1"/>
    <x v="2"/>
    <s v="2º Semestre"/>
    <x v="3"/>
    <x v="11"/>
    <n v="12"/>
  </r>
  <r>
    <n v="409"/>
    <s v="16/12/2025"/>
    <x v="4"/>
    <x v="2"/>
    <x v="2"/>
    <x v="1"/>
    <n v="37"/>
    <n v="2"/>
    <x v="2"/>
    <s v="2º Semestre"/>
    <x v="3"/>
    <x v="11"/>
    <n v="12"/>
  </r>
  <r>
    <n v="410"/>
    <s v="17/12/2025"/>
    <x v="4"/>
    <x v="2"/>
    <x v="2"/>
    <x v="1"/>
    <n v="33"/>
    <n v="1"/>
    <x v="2"/>
    <s v="2º Semestre"/>
    <x v="3"/>
    <x v="11"/>
    <n v="12"/>
  </r>
  <r>
    <n v="411"/>
    <s v="18/12/2025"/>
    <x v="4"/>
    <x v="5"/>
    <x v="6"/>
    <x v="2"/>
    <n v="32"/>
    <n v="2"/>
    <x v="4"/>
    <s v="2º Semestre"/>
    <x v="3"/>
    <x v="11"/>
    <n v="12"/>
  </r>
  <r>
    <n v="412"/>
    <s v="19/12/2025"/>
    <x v="0"/>
    <x v="0"/>
    <x v="0"/>
    <x v="0"/>
    <n v="113"/>
    <n v="3"/>
    <x v="2"/>
    <s v="2º Semestre"/>
    <x v="3"/>
    <x v="11"/>
    <n v="12"/>
  </r>
  <r>
    <n v="413"/>
    <s v="20/12/2025"/>
    <x v="2"/>
    <x v="0"/>
    <x v="0"/>
    <x v="0"/>
    <n v="50"/>
    <n v="3"/>
    <x v="6"/>
    <s v="2º Semestre"/>
    <x v="3"/>
    <x v="11"/>
    <n v="12"/>
  </r>
  <r>
    <n v="414"/>
    <s v="21/12/2025"/>
    <x v="3"/>
    <x v="2"/>
    <x v="2"/>
    <x v="1"/>
    <n v="30"/>
    <n v="1"/>
    <x v="4"/>
    <s v="2º Semestre"/>
    <x v="3"/>
    <x v="11"/>
    <n v="12"/>
  </r>
  <r>
    <n v="415"/>
    <s v="22/12/2025"/>
    <x v="4"/>
    <x v="0"/>
    <x v="0"/>
    <x v="0"/>
    <n v="31"/>
    <n v="2"/>
    <x v="2"/>
    <s v="2º Semestre"/>
    <x v="3"/>
    <x v="11"/>
    <n v="12"/>
  </r>
  <r>
    <n v="416"/>
    <s v="23/12/2025"/>
    <x v="1"/>
    <x v="2"/>
    <x v="2"/>
    <x v="1"/>
    <n v="90"/>
    <n v="1"/>
    <x v="2"/>
    <s v="2º Semestre"/>
    <x v="3"/>
    <x v="11"/>
    <n v="12"/>
  </r>
  <r>
    <n v="417"/>
    <s v="24/12/2025"/>
    <x v="0"/>
    <x v="0"/>
    <x v="0"/>
    <x v="0"/>
    <n v="117"/>
    <n v="1"/>
    <x v="6"/>
    <s v="2º Semestre"/>
    <x v="3"/>
    <x v="11"/>
    <n v="12"/>
  </r>
  <r>
    <n v="418"/>
    <s v="25/12/2025"/>
    <x v="4"/>
    <x v="5"/>
    <x v="6"/>
    <x v="2"/>
    <n v="30"/>
    <n v="2"/>
    <x v="1"/>
    <s v="2º Semestre"/>
    <x v="3"/>
    <x v="11"/>
    <n v="12"/>
  </r>
  <r>
    <n v="419"/>
    <s v="26/12/2025"/>
    <x v="1"/>
    <x v="0"/>
    <x v="0"/>
    <x v="0"/>
    <n v="100"/>
    <n v="1"/>
    <x v="6"/>
    <s v="2º Semestre"/>
    <x v="3"/>
    <x v="11"/>
    <n v="12"/>
  </r>
  <r>
    <n v="420"/>
    <s v="27/12/2025"/>
    <x v="2"/>
    <x v="2"/>
    <x v="2"/>
    <x v="1"/>
    <n v="50"/>
    <n v="4"/>
    <x v="2"/>
    <s v="2º Semestre"/>
    <x v="3"/>
    <x v="11"/>
    <n v="12"/>
  </r>
  <r>
    <n v="421"/>
    <s v="28/12/2025"/>
    <x v="0"/>
    <x v="2"/>
    <x v="2"/>
    <x v="1"/>
    <n v="119"/>
    <n v="2"/>
    <x v="1"/>
    <s v="2º Semestre"/>
    <x v="3"/>
    <x v="11"/>
    <n v="12"/>
  </r>
  <r>
    <n v="422"/>
    <s v="29/12/2025"/>
    <x v="4"/>
    <x v="0"/>
    <x v="0"/>
    <x v="0"/>
    <n v="29"/>
    <n v="1"/>
    <x v="1"/>
    <s v="2º Semestre"/>
    <x v="3"/>
    <x v="11"/>
    <n v="12"/>
  </r>
  <r>
    <n v="423"/>
    <s v="30/12/2025"/>
    <x v="2"/>
    <x v="2"/>
    <x v="2"/>
    <x v="1"/>
    <n v="35"/>
    <n v="1"/>
    <x v="3"/>
    <s v="2º Semestre"/>
    <x v="3"/>
    <x v="11"/>
    <n v="12"/>
  </r>
  <r>
    <n v="424"/>
    <s v="31/12/2025"/>
    <x v="1"/>
    <x v="0"/>
    <x v="0"/>
    <x v="0"/>
    <n v="99"/>
    <n v="3"/>
    <x v="1"/>
    <s v="2º Semestre"/>
    <x v="3"/>
    <x v="11"/>
    <n v="12"/>
  </r>
  <r>
    <n v="425"/>
    <s v="01/01/2026"/>
    <x v="0"/>
    <x v="2"/>
    <x v="2"/>
    <x v="1"/>
    <n v="119"/>
    <n v="1"/>
    <x v="2"/>
    <s v="2º Semestre"/>
    <x v="0"/>
    <x v="0"/>
    <n v="1"/>
  </r>
  <r>
    <n v="426"/>
    <s v="02/01/2026"/>
    <x v="3"/>
    <x v="2"/>
    <x v="2"/>
    <x v="1"/>
    <n v="30"/>
    <n v="1"/>
    <x v="2"/>
    <s v="2º Semestre"/>
    <x v="0"/>
    <x v="0"/>
    <n v="1"/>
  </r>
  <r>
    <n v="427"/>
    <s v="03/01/2026"/>
    <x v="4"/>
    <x v="5"/>
    <x v="6"/>
    <x v="2"/>
    <n v="27"/>
    <n v="2"/>
    <x v="1"/>
    <s v="2º Semestre"/>
    <x v="0"/>
    <x v="0"/>
    <n v="1"/>
  </r>
  <r>
    <n v="428"/>
    <s v="04/01/2026"/>
    <x v="1"/>
    <x v="5"/>
    <x v="6"/>
    <x v="2"/>
    <n v="90"/>
    <n v="1"/>
    <x v="2"/>
    <s v="2º Semestre"/>
    <x v="0"/>
    <x v="0"/>
    <n v="1"/>
  </r>
  <r>
    <n v="429"/>
    <s v="05/01/2026"/>
    <x v="1"/>
    <x v="0"/>
    <x v="0"/>
    <x v="0"/>
    <n v="93"/>
    <n v="3"/>
    <x v="2"/>
    <s v="2º Semestre"/>
    <x v="0"/>
    <x v="0"/>
    <n v="1"/>
  </r>
  <r>
    <n v="430"/>
    <s v="06/01/2026"/>
    <x v="1"/>
    <x v="2"/>
    <x v="2"/>
    <x v="1"/>
    <n v="93"/>
    <n v="1"/>
    <x v="2"/>
    <s v="2º Semestre"/>
    <x v="0"/>
    <x v="0"/>
    <n v="1"/>
  </r>
  <r>
    <n v="431"/>
    <s v="07/01/2026"/>
    <x v="4"/>
    <x v="5"/>
    <x v="6"/>
    <x v="2"/>
    <n v="32"/>
    <n v="1"/>
    <x v="6"/>
    <s v="2º Semestre"/>
    <x v="0"/>
    <x v="0"/>
    <n v="1"/>
  </r>
  <r>
    <n v="432"/>
    <s v="08/01/2026"/>
    <x v="4"/>
    <x v="2"/>
    <x v="2"/>
    <x v="1"/>
    <n v="50"/>
    <n v="3"/>
    <x v="2"/>
    <s v="2º Semestre"/>
    <x v="0"/>
    <x v="0"/>
    <n v="1"/>
  </r>
  <r>
    <n v="433"/>
    <s v="09/01/2026"/>
    <x v="0"/>
    <x v="0"/>
    <x v="0"/>
    <x v="0"/>
    <n v="105"/>
    <n v="3"/>
    <x v="1"/>
    <s v="2º Semestre"/>
    <x v="0"/>
    <x v="0"/>
    <n v="1"/>
  </r>
  <r>
    <n v="434"/>
    <s v="10/01/2026"/>
    <x v="3"/>
    <x v="0"/>
    <x v="0"/>
    <x v="0"/>
    <n v="30"/>
    <n v="1"/>
    <x v="2"/>
    <s v="2º Semestre"/>
    <x v="0"/>
    <x v="0"/>
    <n v="1"/>
  </r>
  <r>
    <n v="435"/>
    <s v="11/01/2026"/>
    <x v="3"/>
    <x v="2"/>
    <x v="2"/>
    <x v="1"/>
    <n v="32"/>
    <n v="1"/>
    <x v="6"/>
    <s v="2º Semestre"/>
    <x v="0"/>
    <x v="0"/>
    <n v="1"/>
  </r>
  <r>
    <n v="436"/>
    <s v="12/01/2026"/>
    <x v="4"/>
    <x v="0"/>
    <x v="0"/>
    <x v="0"/>
    <n v="45"/>
    <n v="1"/>
    <x v="2"/>
    <s v="2º Semestre"/>
    <x v="0"/>
    <x v="0"/>
    <n v="1"/>
  </r>
  <r>
    <n v="437"/>
    <s v="13/01/2026"/>
    <x v="2"/>
    <x v="2"/>
    <x v="2"/>
    <x v="1"/>
    <n v="50"/>
    <n v="3"/>
    <x v="6"/>
    <s v="2º Semestre"/>
    <x v="0"/>
    <x v="0"/>
    <n v="1"/>
  </r>
  <r>
    <n v="438"/>
    <s v="14/01/2026"/>
    <x v="3"/>
    <x v="2"/>
    <x v="2"/>
    <x v="1"/>
    <n v="30"/>
    <n v="2"/>
    <x v="2"/>
    <s v="2º Semestre"/>
    <x v="0"/>
    <x v="0"/>
    <n v="1"/>
  </r>
  <r>
    <n v="439"/>
    <s v="15/01/2026"/>
    <x v="1"/>
    <x v="5"/>
    <x v="6"/>
    <x v="2"/>
    <n v="90"/>
    <n v="1"/>
    <x v="4"/>
    <s v="2º Semestre"/>
    <x v="0"/>
    <x v="0"/>
    <n v="1"/>
  </r>
  <r>
    <n v="440"/>
    <s v="16/01/2026"/>
    <x v="3"/>
    <x v="0"/>
    <x v="0"/>
    <x v="0"/>
    <n v="28"/>
    <n v="1"/>
    <x v="2"/>
    <s v="2º Semestre"/>
    <x v="0"/>
    <x v="0"/>
    <n v="1"/>
  </r>
  <r>
    <n v="441"/>
    <s v="17/01/2026"/>
    <x v="2"/>
    <x v="0"/>
    <x v="0"/>
    <x v="0"/>
    <n v="34"/>
    <n v="2"/>
    <x v="2"/>
    <s v="2º Semestre"/>
    <x v="0"/>
    <x v="0"/>
    <n v="1"/>
  </r>
  <r>
    <n v="442"/>
    <s v="18/01/2026"/>
    <x v="4"/>
    <x v="0"/>
    <x v="0"/>
    <x v="0"/>
    <n v="44"/>
    <n v="4"/>
    <x v="1"/>
    <s v="2º Semestre"/>
    <x v="0"/>
    <x v="0"/>
    <n v="1"/>
  </r>
  <r>
    <n v="443"/>
    <s v="19/01/2026"/>
    <x v="2"/>
    <x v="0"/>
    <x v="0"/>
    <x v="0"/>
    <n v="50"/>
    <n v="1"/>
    <x v="6"/>
    <s v="2º Semestre"/>
    <x v="0"/>
    <x v="0"/>
    <n v="1"/>
  </r>
  <r>
    <n v="444"/>
    <s v="20/01/2026"/>
    <x v="1"/>
    <x v="0"/>
    <x v="0"/>
    <x v="0"/>
    <n v="97"/>
    <n v="4"/>
    <x v="1"/>
    <s v="2º Semestre"/>
    <x v="0"/>
    <x v="0"/>
    <n v="1"/>
  </r>
  <r>
    <n v="445"/>
    <s v="21/01/2026"/>
    <x v="2"/>
    <x v="5"/>
    <x v="6"/>
    <x v="2"/>
    <n v="50"/>
    <n v="1"/>
    <x v="2"/>
    <s v="2º Semestre"/>
    <x v="0"/>
    <x v="0"/>
    <n v="1"/>
  </r>
  <r>
    <n v="446"/>
    <s v="22/01/2026"/>
    <x v="0"/>
    <x v="0"/>
    <x v="0"/>
    <x v="0"/>
    <n v="105"/>
    <n v="1"/>
    <x v="2"/>
    <s v="2º Semestre"/>
    <x v="0"/>
    <x v="0"/>
    <n v="1"/>
  </r>
  <r>
    <n v="447"/>
    <s v="23/01/2026"/>
    <x v="4"/>
    <x v="2"/>
    <x v="2"/>
    <x v="1"/>
    <n v="47"/>
    <n v="1"/>
    <x v="1"/>
    <s v="2º Semestre"/>
    <x v="0"/>
    <x v="0"/>
    <n v="1"/>
  </r>
  <r>
    <n v="448"/>
    <s v="24/01/2026"/>
    <x v="0"/>
    <x v="0"/>
    <x v="0"/>
    <x v="0"/>
    <n v="111"/>
    <n v="3"/>
    <x v="6"/>
    <s v="2º Semestre"/>
    <x v="0"/>
    <x v="0"/>
    <n v="1"/>
  </r>
  <r>
    <n v="449"/>
    <s v="25/01/2026"/>
    <x v="4"/>
    <x v="2"/>
    <x v="2"/>
    <x v="1"/>
    <n v="30"/>
    <n v="1"/>
    <x v="4"/>
    <s v="2º Semestre"/>
    <x v="0"/>
    <x v="0"/>
    <n v="1"/>
  </r>
  <r>
    <n v="450"/>
    <s v="26/01/2026"/>
    <x v="0"/>
    <x v="0"/>
    <x v="0"/>
    <x v="0"/>
    <n v="110"/>
    <n v="1"/>
    <x v="6"/>
    <s v="2º Semestre"/>
    <x v="0"/>
    <x v="0"/>
    <n v="1"/>
  </r>
  <r>
    <n v="451"/>
    <s v="27/01/2026"/>
    <x v="0"/>
    <x v="2"/>
    <x v="2"/>
    <x v="1"/>
    <n v="122"/>
    <n v="1"/>
    <x v="6"/>
    <s v="2º Semestre"/>
    <x v="0"/>
    <x v="0"/>
    <n v="1"/>
  </r>
  <r>
    <n v="452"/>
    <s v="28/01/2026"/>
    <x v="2"/>
    <x v="0"/>
    <x v="0"/>
    <x v="0"/>
    <n v="50"/>
    <n v="1"/>
    <x v="1"/>
    <s v="2º Semestre"/>
    <x v="0"/>
    <x v="0"/>
    <n v="1"/>
  </r>
  <r>
    <n v="453"/>
    <s v="29/01/2026"/>
    <x v="4"/>
    <x v="5"/>
    <x v="6"/>
    <x v="2"/>
    <n v="40"/>
    <n v="3"/>
    <x v="1"/>
    <s v="2º Semestre"/>
    <x v="0"/>
    <x v="0"/>
    <n v="1"/>
  </r>
  <r>
    <n v="454"/>
    <s v="30/01/2026"/>
    <x v="2"/>
    <x v="2"/>
    <x v="2"/>
    <x v="1"/>
    <n v="34"/>
    <n v="3"/>
    <x v="2"/>
    <s v="2º Semestre"/>
    <x v="0"/>
    <x v="0"/>
    <n v="1"/>
  </r>
  <r>
    <n v="455"/>
    <s v="31/01/2026"/>
    <x v="0"/>
    <x v="0"/>
    <x v="0"/>
    <x v="0"/>
    <n v="123"/>
    <n v="2"/>
    <x v="2"/>
    <s v="2º Semestre"/>
    <x v="0"/>
    <x v="0"/>
    <n v="1"/>
  </r>
  <r>
    <n v="456"/>
    <s v="01/02/2026"/>
    <x v="4"/>
    <x v="0"/>
    <x v="0"/>
    <x v="0"/>
    <n v="39"/>
    <n v="4"/>
    <x v="6"/>
    <s v="2º Semestre"/>
    <x v="0"/>
    <x v="1"/>
    <n v="2"/>
  </r>
  <r>
    <n v="457"/>
    <s v="02/02/2026"/>
    <x v="2"/>
    <x v="0"/>
    <x v="0"/>
    <x v="0"/>
    <n v="50"/>
    <n v="1"/>
    <x v="1"/>
    <s v="2º Semestre"/>
    <x v="0"/>
    <x v="1"/>
    <n v="2"/>
  </r>
  <r>
    <n v="458"/>
    <s v="03/02/2026"/>
    <x v="1"/>
    <x v="0"/>
    <x v="0"/>
    <x v="0"/>
    <n v="90"/>
    <n v="1"/>
    <x v="2"/>
    <s v="2º Semestre"/>
    <x v="0"/>
    <x v="1"/>
    <n v="2"/>
  </r>
  <r>
    <n v="459"/>
    <s v="04/02/2026"/>
    <x v="4"/>
    <x v="2"/>
    <x v="2"/>
    <x v="1"/>
    <n v="50"/>
    <n v="1"/>
    <x v="2"/>
    <s v="2º Semestre"/>
    <x v="0"/>
    <x v="1"/>
    <n v="2"/>
  </r>
  <r>
    <n v="460"/>
    <s v="05/02/2026"/>
    <x v="2"/>
    <x v="2"/>
    <x v="2"/>
    <x v="1"/>
    <n v="50"/>
    <n v="1"/>
    <x v="2"/>
    <s v="2º Semestre"/>
    <x v="0"/>
    <x v="1"/>
    <n v="2"/>
  </r>
  <r>
    <n v="461"/>
    <s v="06/02/2026"/>
    <x v="3"/>
    <x v="2"/>
    <x v="2"/>
    <x v="1"/>
    <n v="32"/>
    <n v="1"/>
    <x v="2"/>
    <s v="2º Semestre"/>
    <x v="0"/>
    <x v="1"/>
    <n v="2"/>
  </r>
  <r>
    <n v="462"/>
    <s v="07/02/2026"/>
    <x v="3"/>
    <x v="0"/>
    <x v="0"/>
    <x v="0"/>
    <n v="22"/>
    <n v="1"/>
    <x v="6"/>
    <s v="2º Semestre"/>
    <x v="0"/>
    <x v="1"/>
    <n v="2"/>
  </r>
  <r>
    <n v="463"/>
    <s v="08/02/2026"/>
    <x v="0"/>
    <x v="2"/>
    <x v="2"/>
    <x v="1"/>
    <n v="113"/>
    <n v="1"/>
    <x v="1"/>
    <s v="2º Semestre"/>
    <x v="0"/>
    <x v="1"/>
    <n v="2"/>
  </r>
  <r>
    <n v="464"/>
    <s v="09/02/2026"/>
    <x v="0"/>
    <x v="0"/>
    <x v="0"/>
    <x v="0"/>
    <n v="114"/>
    <n v="1"/>
    <x v="6"/>
    <s v="2º Semestre"/>
    <x v="0"/>
    <x v="1"/>
    <n v="2"/>
  </r>
  <r>
    <n v="465"/>
    <s v="10/02/2026"/>
    <x v="1"/>
    <x v="2"/>
    <x v="2"/>
    <x v="1"/>
    <n v="95"/>
    <n v="4"/>
    <x v="1"/>
    <s v="2º Semestre"/>
    <x v="0"/>
    <x v="1"/>
    <n v="2"/>
  </r>
  <r>
    <n v="466"/>
    <s v="11/02/2026"/>
    <x v="4"/>
    <x v="0"/>
    <x v="0"/>
    <x v="0"/>
    <n v="35"/>
    <n v="1"/>
    <x v="2"/>
    <s v="2º Semestre"/>
    <x v="0"/>
    <x v="1"/>
    <n v="2"/>
  </r>
  <r>
    <n v="467"/>
    <s v="12/02/2026"/>
    <x v="3"/>
    <x v="2"/>
    <x v="2"/>
    <x v="1"/>
    <n v="23"/>
    <n v="2"/>
    <x v="6"/>
    <s v="2º Semestre"/>
    <x v="0"/>
    <x v="1"/>
    <n v="2"/>
  </r>
  <r>
    <n v="468"/>
    <s v="13/02/2026"/>
    <x v="4"/>
    <x v="0"/>
    <x v="0"/>
    <x v="0"/>
    <n v="32"/>
    <n v="1"/>
    <x v="2"/>
    <s v="2º Semestre"/>
    <x v="0"/>
    <x v="1"/>
    <n v="2"/>
  </r>
  <r>
    <n v="469"/>
    <s v="14/02/2026"/>
    <x v="0"/>
    <x v="0"/>
    <x v="0"/>
    <x v="0"/>
    <n v="114"/>
    <n v="1"/>
    <x v="2"/>
    <s v="2º Semestre"/>
    <x v="0"/>
    <x v="1"/>
    <n v="2"/>
  </r>
  <r>
    <n v="470"/>
    <s v="15/02/2026"/>
    <x v="0"/>
    <x v="0"/>
    <x v="0"/>
    <x v="0"/>
    <n v="113"/>
    <n v="1"/>
    <x v="6"/>
    <s v="2º Semestre"/>
    <x v="0"/>
    <x v="1"/>
    <n v="2"/>
  </r>
  <r>
    <n v="471"/>
    <s v="16/02/2026"/>
    <x v="1"/>
    <x v="2"/>
    <x v="2"/>
    <x v="1"/>
    <n v="98"/>
    <n v="4"/>
    <x v="4"/>
    <s v="2º Semestre"/>
    <x v="0"/>
    <x v="1"/>
    <n v="2"/>
  </r>
  <r>
    <n v="472"/>
    <s v="17/02/2026"/>
    <x v="1"/>
    <x v="2"/>
    <x v="2"/>
    <x v="1"/>
    <n v="102"/>
    <n v="3"/>
    <x v="2"/>
    <s v="2º Semestre"/>
    <x v="0"/>
    <x v="1"/>
    <n v="2"/>
  </r>
  <r>
    <n v="473"/>
    <s v="18/02/2026"/>
    <x v="0"/>
    <x v="0"/>
    <x v="0"/>
    <x v="0"/>
    <n v="125"/>
    <n v="3"/>
    <x v="4"/>
    <s v="2º Semestre"/>
    <x v="0"/>
    <x v="1"/>
    <n v="2"/>
  </r>
  <r>
    <n v="474"/>
    <s v="19/02/2026"/>
    <x v="1"/>
    <x v="0"/>
    <x v="0"/>
    <x v="0"/>
    <n v="102"/>
    <n v="1"/>
    <x v="6"/>
    <s v="2º Semestre"/>
    <x v="0"/>
    <x v="1"/>
    <n v="2"/>
  </r>
  <r>
    <n v="475"/>
    <s v="20/02/2026"/>
    <x v="3"/>
    <x v="2"/>
    <x v="2"/>
    <x v="1"/>
    <n v="22"/>
    <n v="2"/>
    <x v="2"/>
    <s v="2º Semestre"/>
    <x v="0"/>
    <x v="1"/>
    <n v="2"/>
  </r>
  <r>
    <n v="476"/>
    <s v="21/02/2026"/>
    <x v="0"/>
    <x v="0"/>
    <x v="0"/>
    <x v="0"/>
    <n v="127"/>
    <n v="1"/>
    <x v="2"/>
    <s v="2º Semestre"/>
    <x v="0"/>
    <x v="1"/>
    <n v="2"/>
  </r>
  <r>
    <n v="477"/>
    <s v="22/02/2026"/>
    <x v="1"/>
    <x v="0"/>
    <x v="0"/>
    <x v="0"/>
    <n v="88"/>
    <n v="1"/>
    <x v="4"/>
    <s v="2º Semestre"/>
    <x v="0"/>
    <x v="1"/>
    <n v="2"/>
  </r>
  <r>
    <n v="478"/>
    <s v="23/02/2026"/>
    <x v="0"/>
    <x v="2"/>
    <x v="2"/>
    <x v="1"/>
    <n v="127"/>
    <n v="1"/>
    <x v="6"/>
    <s v="2º Semestre"/>
    <x v="0"/>
    <x v="1"/>
    <n v="2"/>
  </r>
  <r>
    <n v="479"/>
    <s v="24/02/2026"/>
    <x v="1"/>
    <x v="2"/>
    <x v="2"/>
    <x v="1"/>
    <n v="82"/>
    <n v="3"/>
    <x v="4"/>
    <s v="2º Semestre"/>
    <x v="0"/>
    <x v="1"/>
    <n v="2"/>
  </r>
  <r>
    <n v="480"/>
    <s v="25/02/2026"/>
    <x v="1"/>
    <x v="0"/>
    <x v="0"/>
    <x v="0"/>
    <n v="87"/>
    <n v="2"/>
    <x v="0"/>
    <s v="2º Semestre"/>
    <x v="0"/>
    <x v="1"/>
    <n v="2"/>
  </r>
  <r>
    <n v="481"/>
    <s v="26/02/2026"/>
    <x v="0"/>
    <x v="0"/>
    <x v="0"/>
    <x v="0"/>
    <n v="102"/>
    <n v="1"/>
    <x v="2"/>
    <s v="2º Semestre"/>
    <x v="0"/>
    <x v="1"/>
    <n v="2"/>
  </r>
  <r>
    <n v="482"/>
    <s v="27/02/2026"/>
    <x v="2"/>
    <x v="0"/>
    <x v="0"/>
    <x v="0"/>
    <n v="37"/>
    <n v="3"/>
    <x v="6"/>
    <s v="2º Semestre"/>
    <x v="0"/>
    <x v="1"/>
    <n v="2"/>
  </r>
  <r>
    <n v="483"/>
    <s v="28/02/2026"/>
    <x v="2"/>
    <x v="0"/>
    <x v="0"/>
    <x v="0"/>
    <n v="50"/>
    <n v="1"/>
    <x v="6"/>
    <s v="2º Semestre"/>
    <x v="0"/>
    <x v="1"/>
    <n v="2"/>
  </r>
  <r>
    <n v="484"/>
    <s v="01/03/2026"/>
    <x v="3"/>
    <x v="2"/>
    <x v="2"/>
    <x v="1"/>
    <n v="30"/>
    <n v="2"/>
    <x v="1"/>
    <s v="2º Semestre"/>
    <x v="0"/>
    <x v="2"/>
    <n v="3"/>
  </r>
  <r>
    <n v="485"/>
    <s v="02/03/2026"/>
    <x v="3"/>
    <x v="2"/>
    <x v="2"/>
    <x v="1"/>
    <n v="22"/>
    <n v="1"/>
    <x v="2"/>
    <s v="2º Semestre"/>
    <x v="0"/>
    <x v="2"/>
    <n v="3"/>
  </r>
  <r>
    <n v="486"/>
    <s v="03/03/2026"/>
    <x v="0"/>
    <x v="0"/>
    <x v="0"/>
    <x v="0"/>
    <n v="102"/>
    <n v="1"/>
    <x v="2"/>
    <s v="2º Semestre"/>
    <x v="0"/>
    <x v="2"/>
    <n v="3"/>
  </r>
  <r>
    <n v="487"/>
    <s v="04/03/2026"/>
    <x v="4"/>
    <x v="0"/>
    <x v="0"/>
    <x v="0"/>
    <n v="33"/>
    <n v="1"/>
    <x v="6"/>
    <s v="2º Semestre"/>
    <x v="0"/>
    <x v="2"/>
    <n v="3"/>
  </r>
  <r>
    <n v="488"/>
    <s v="05/03/2026"/>
    <x v="4"/>
    <x v="2"/>
    <x v="2"/>
    <x v="1"/>
    <n v="32"/>
    <n v="1"/>
    <x v="2"/>
    <s v="2º Semestre"/>
    <x v="0"/>
    <x v="2"/>
    <n v="3"/>
  </r>
  <r>
    <n v="489"/>
    <s v="06/03/2026"/>
    <x v="3"/>
    <x v="0"/>
    <x v="0"/>
    <x v="0"/>
    <n v="30"/>
    <n v="2"/>
    <x v="2"/>
    <s v="2º Semestre"/>
    <x v="0"/>
    <x v="2"/>
    <n v="3"/>
  </r>
  <r>
    <n v="490"/>
    <s v="07/03/2026"/>
    <x v="1"/>
    <x v="0"/>
    <x v="0"/>
    <x v="0"/>
    <n v="81"/>
    <n v="1"/>
    <x v="1"/>
    <s v="2º Semestre"/>
    <x v="0"/>
    <x v="2"/>
    <n v="3"/>
  </r>
  <r>
    <n v="491"/>
    <s v="08/03/2026"/>
    <x v="2"/>
    <x v="0"/>
    <x v="0"/>
    <x v="0"/>
    <n v="50"/>
    <n v="1"/>
    <x v="2"/>
    <s v="2º Semestre"/>
    <x v="0"/>
    <x v="2"/>
    <n v="3"/>
  </r>
  <r>
    <n v="492"/>
    <s v="09/03/2026"/>
    <x v="1"/>
    <x v="5"/>
    <x v="6"/>
    <x v="2"/>
    <n v="100"/>
    <n v="2"/>
    <x v="0"/>
    <s v="2º Semestre"/>
    <x v="0"/>
    <x v="2"/>
    <n v="3"/>
  </r>
  <r>
    <n v="493"/>
    <s v="10/03/2026"/>
    <x v="1"/>
    <x v="0"/>
    <x v="0"/>
    <x v="0"/>
    <n v="102"/>
    <n v="1"/>
    <x v="2"/>
    <s v="2º Semestre"/>
    <x v="0"/>
    <x v="2"/>
    <n v="3"/>
  </r>
  <r>
    <n v="494"/>
    <s v="11/03/2026"/>
    <x v="4"/>
    <x v="0"/>
    <x v="0"/>
    <x v="0"/>
    <n v="31"/>
    <n v="1"/>
    <x v="6"/>
    <s v="2º Semestre"/>
    <x v="0"/>
    <x v="2"/>
    <n v="3"/>
  </r>
  <r>
    <n v="495"/>
    <s v="12/03/2026"/>
    <x v="2"/>
    <x v="0"/>
    <x v="0"/>
    <x v="0"/>
    <n v="33"/>
    <n v="2"/>
    <x v="2"/>
    <s v="2º Semestre"/>
    <x v="0"/>
    <x v="2"/>
    <n v="3"/>
  </r>
  <r>
    <n v="496"/>
    <s v="13/03/2026"/>
    <x v="2"/>
    <x v="0"/>
    <x v="0"/>
    <x v="0"/>
    <n v="50"/>
    <n v="1"/>
    <x v="6"/>
    <s v="2º Semestre"/>
    <x v="0"/>
    <x v="2"/>
    <n v="3"/>
  </r>
  <r>
    <n v="497"/>
    <s v="14/03/2026"/>
    <x v="3"/>
    <x v="5"/>
    <x v="6"/>
    <x v="2"/>
    <n v="32"/>
    <n v="1"/>
    <x v="6"/>
    <s v="2º Semestre"/>
    <x v="0"/>
    <x v="2"/>
    <n v="3"/>
  </r>
  <r>
    <n v="498"/>
    <s v="15/03/2026"/>
    <x v="3"/>
    <x v="5"/>
    <x v="6"/>
    <x v="2"/>
    <n v="30"/>
    <n v="1"/>
    <x v="2"/>
    <s v="2º Semestre"/>
    <x v="0"/>
    <x v="2"/>
    <n v="3"/>
  </r>
  <r>
    <n v="499"/>
    <s v="16/03/2026"/>
    <x v="3"/>
    <x v="0"/>
    <x v="0"/>
    <x v="0"/>
    <n v="25"/>
    <n v="4"/>
    <x v="2"/>
    <s v="2º Semestre"/>
    <x v="0"/>
    <x v="2"/>
    <n v="3"/>
  </r>
  <r>
    <n v="500"/>
    <s v="17/03/2026"/>
    <x v="0"/>
    <x v="2"/>
    <x v="2"/>
    <x v="1"/>
    <n v="109"/>
    <n v="3"/>
    <x v="2"/>
    <s v="2º Semestre"/>
    <x v="0"/>
    <x v="2"/>
    <n v="3"/>
  </r>
  <r>
    <n v="501"/>
    <s v="18/03/2026"/>
    <x v="4"/>
    <x v="0"/>
    <x v="0"/>
    <x v="0"/>
    <n v="30"/>
    <n v="1"/>
    <x v="1"/>
    <s v="2º Semestre"/>
    <x v="0"/>
    <x v="2"/>
    <n v="3"/>
  </r>
  <r>
    <n v="502"/>
    <s v="19/03/2026"/>
    <x v="3"/>
    <x v="2"/>
    <x v="2"/>
    <x v="1"/>
    <n v="30"/>
    <n v="1"/>
    <x v="2"/>
    <s v="2º Semestre"/>
    <x v="0"/>
    <x v="2"/>
    <n v="3"/>
  </r>
  <r>
    <n v="503"/>
    <s v="20/03/2026"/>
    <x v="4"/>
    <x v="0"/>
    <x v="0"/>
    <x v="0"/>
    <n v="40"/>
    <n v="1"/>
    <x v="2"/>
    <s v="2º Semestre"/>
    <x v="0"/>
    <x v="2"/>
    <n v="3"/>
  </r>
  <r>
    <n v="504"/>
    <s v="21/03/2026"/>
    <x v="3"/>
    <x v="0"/>
    <x v="0"/>
    <x v="0"/>
    <n v="24"/>
    <n v="4"/>
    <x v="2"/>
    <s v="2º Semestre"/>
    <x v="0"/>
    <x v="2"/>
    <n v="3"/>
  </r>
  <r>
    <n v="505"/>
    <s v="22/03/2026"/>
    <x v="0"/>
    <x v="0"/>
    <x v="0"/>
    <x v="0"/>
    <n v="105"/>
    <n v="2"/>
    <x v="1"/>
    <s v="2º Semestre"/>
    <x v="0"/>
    <x v="2"/>
    <n v="3"/>
  </r>
  <r>
    <n v="506"/>
    <s v="23/03/2026"/>
    <x v="2"/>
    <x v="2"/>
    <x v="2"/>
    <x v="1"/>
    <n v="35"/>
    <n v="1"/>
    <x v="1"/>
    <s v="2º Semestre"/>
    <x v="0"/>
    <x v="2"/>
    <n v="3"/>
  </r>
  <r>
    <n v="507"/>
    <s v="24/03/2026"/>
    <x v="4"/>
    <x v="5"/>
    <x v="6"/>
    <x v="2"/>
    <n v="33"/>
    <n v="1"/>
    <x v="2"/>
    <s v="2º Semestre"/>
    <x v="0"/>
    <x v="2"/>
    <n v="3"/>
  </r>
  <r>
    <n v="508"/>
    <s v="25/03/2026"/>
    <x v="3"/>
    <x v="0"/>
    <x v="0"/>
    <x v="0"/>
    <n v="30"/>
    <n v="1"/>
    <x v="6"/>
    <s v="2º Semestre"/>
    <x v="0"/>
    <x v="2"/>
    <n v="3"/>
  </r>
  <r>
    <n v="509"/>
    <s v="26/03/2026"/>
    <x v="4"/>
    <x v="5"/>
    <x v="6"/>
    <x v="2"/>
    <n v="31"/>
    <n v="3"/>
    <x v="0"/>
    <s v="2º Semestre"/>
    <x v="0"/>
    <x v="2"/>
    <n v="3"/>
  </r>
  <r>
    <n v="510"/>
    <s v="27/03/2026"/>
    <x v="0"/>
    <x v="2"/>
    <x v="2"/>
    <x v="1"/>
    <n v="117"/>
    <n v="1"/>
    <x v="1"/>
    <s v="2º Semestre"/>
    <x v="0"/>
    <x v="2"/>
    <n v="3"/>
  </r>
  <r>
    <n v="511"/>
    <s v="28/03/2026"/>
    <x v="3"/>
    <x v="5"/>
    <x v="6"/>
    <x v="2"/>
    <n v="24"/>
    <n v="1"/>
    <x v="1"/>
    <s v="2º Semestre"/>
    <x v="0"/>
    <x v="2"/>
    <n v="3"/>
  </r>
  <r>
    <n v="512"/>
    <s v="29/03/2026"/>
    <x v="4"/>
    <x v="2"/>
    <x v="2"/>
    <x v="1"/>
    <n v="33"/>
    <n v="1"/>
    <x v="6"/>
    <s v="2º Semestre"/>
    <x v="0"/>
    <x v="2"/>
    <n v="3"/>
  </r>
  <r>
    <n v="513"/>
    <s v="30/03/2026"/>
    <x v="0"/>
    <x v="2"/>
    <x v="2"/>
    <x v="1"/>
    <n v="117"/>
    <n v="2"/>
    <x v="1"/>
    <s v="2º Semestre"/>
    <x v="0"/>
    <x v="2"/>
    <n v="3"/>
  </r>
  <r>
    <n v="514"/>
    <s v="31/03/2026"/>
    <x v="1"/>
    <x v="2"/>
    <x v="2"/>
    <x v="1"/>
    <n v="88"/>
    <n v="2"/>
    <x v="6"/>
    <s v="2º Semestre"/>
    <x v="0"/>
    <x v="2"/>
    <n v="3"/>
  </r>
  <r>
    <n v="515"/>
    <s v="01/04/2026"/>
    <x v="4"/>
    <x v="2"/>
    <x v="2"/>
    <x v="1"/>
    <n v="37"/>
    <n v="1"/>
    <x v="6"/>
    <s v="2º Semestre"/>
    <x v="1"/>
    <x v="3"/>
    <n v="4"/>
  </r>
  <r>
    <n v="516"/>
    <s v="02/04/2026"/>
    <x v="2"/>
    <x v="0"/>
    <x v="0"/>
    <x v="0"/>
    <n v="50"/>
    <n v="2"/>
    <x v="6"/>
    <s v="2º Semestre"/>
    <x v="1"/>
    <x v="3"/>
    <n v="4"/>
  </r>
  <r>
    <n v="517"/>
    <s v="03/04/2026"/>
    <x v="2"/>
    <x v="2"/>
    <x v="2"/>
    <x v="1"/>
    <n v="36"/>
    <n v="1"/>
    <x v="1"/>
    <s v="2º Semestre"/>
    <x v="1"/>
    <x v="3"/>
    <n v="4"/>
  </r>
  <r>
    <n v="518"/>
    <s v="04/04/2026"/>
    <x v="2"/>
    <x v="0"/>
    <x v="0"/>
    <x v="0"/>
    <n v="50"/>
    <n v="1"/>
    <x v="0"/>
    <s v="2º Semestre"/>
    <x v="1"/>
    <x v="3"/>
    <n v="4"/>
  </r>
  <r>
    <n v="519"/>
    <s v="05/04/2026"/>
    <x v="4"/>
    <x v="2"/>
    <x v="2"/>
    <x v="1"/>
    <n v="37"/>
    <n v="1"/>
    <x v="3"/>
    <s v="2º Semestre"/>
    <x v="1"/>
    <x v="3"/>
    <n v="4"/>
  </r>
  <r>
    <n v="520"/>
    <s v="06/04/2026"/>
    <x v="2"/>
    <x v="2"/>
    <x v="2"/>
    <x v="1"/>
    <n v="36"/>
    <n v="1"/>
    <x v="2"/>
    <s v="2º Semestre"/>
    <x v="1"/>
    <x v="3"/>
    <n v="4"/>
  </r>
  <r>
    <n v="521"/>
    <s v="07/04/2026"/>
    <x v="1"/>
    <x v="0"/>
    <x v="0"/>
    <x v="0"/>
    <n v="80"/>
    <n v="1"/>
    <x v="2"/>
    <s v="2º Semestre"/>
    <x v="1"/>
    <x v="3"/>
    <n v="4"/>
  </r>
  <r>
    <n v="522"/>
    <s v="08/04/2026"/>
    <x v="4"/>
    <x v="5"/>
    <x v="6"/>
    <x v="2"/>
    <n v="39"/>
    <n v="1"/>
    <x v="2"/>
    <s v="2º Semestre"/>
    <x v="1"/>
    <x v="3"/>
    <n v="4"/>
  </r>
  <r>
    <n v="523"/>
    <s v="09/04/2026"/>
    <x v="3"/>
    <x v="2"/>
    <x v="2"/>
    <x v="1"/>
    <n v="30"/>
    <n v="2"/>
    <x v="2"/>
    <s v="2º Semestre"/>
    <x v="1"/>
    <x v="3"/>
    <n v="4"/>
  </r>
  <r>
    <n v="524"/>
    <s v="10/04/2026"/>
    <x v="3"/>
    <x v="0"/>
    <x v="0"/>
    <x v="0"/>
    <n v="23"/>
    <n v="1"/>
    <x v="1"/>
    <s v="2º Semestre"/>
    <x v="1"/>
    <x v="3"/>
    <n v="4"/>
  </r>
  <r>
    <n v="525"/>
    <s v="11/04/2026"/>
    <x v="1"/>
    <x v="0"/>
    <x v="0"/>
    <x v="0"/>
    <n v="82"/>
    <n v="1"/>
    <x v="6"/>
    <s v="2º Semestre"/>
    <x v="1"/>
    <x v="3"/>
    <n v="4"/>
  </r>
  <r>
    <n v="526"/>
    <s v="12/04/2026"/>
    <x v="3"/>
    <x v="2"/>
    <x v="2"/>
    <x v="1"/>
    <n v="30"/>
    <n v="2"/>
    <x v="1"/>
    <s v="2º Semestre"/>
    <x v="1"/>
    <x v="3"/>
    <n v="4"/>
  </r>
  <r>
    <n v="527"/>
    <s v="13/04/2026"/>
    <x v="3"/>
    <x v="2"/>
    <x v="2"/>
    <x v="1"/>
    <n v="22"/>
    <n v="1"/>
    <x v="2"/>
    <s v="2º Semestre"/>
    <x v="1"/>
    <x v="3"/>
    <n v="4"/>
  </r>
  <r>
    <n v="528"/>
    <s v="14/04/2026"/>
    <x v="0"/>
    <x v="0"/>
    <x v="0"/>
    <x v="0"/>
    <n v="115"/>
    <n v="1"/>
    <x v="2"/>
    <s v="2º Semestre"/>
    <x v="1"/>
    <x v="3"/>
    <n v="4"/>
  </r>
  <r>
    <n v="529"/>
    <s v="15/04/2026"/>
    <x v="2"/>
    <x v="2"/>
    <x v="2"/>
    <x v="1"/>
    <n v="50"/>
    <n v="1"/>
    <x v="2"/>
    <s v="2º Semestre"/>
    <x v="1"/>
    <x v="3"/>
    <n v="4"/>
  </r>
  <r>
    <n v="530"/>
    <s v="16/04/2026"/>
    <x v="3"/>
    <x v="0"/>
    <x v="0"/>
    <x v="0"/>
    <n v="30"/>
    <n v="2"/>
    <x v="2"/>
    <s v="2º Semestre"/>
    <x v="1"/>
    <x v="3"/>
    <n v="4"/>
  </r>
  <r>
    <n v="531"/>
    <s v="17/04/2026"/>
    <x v="1"/>
    <x v="5"/>
    <x v="6"/>
    <x v="2"/>
    <n v="83"/>
    <n v="1"/>
    <x v="1"/>
    <s v="2º Semestre"/>
    <x v="1"/>
    <x v="3"/>
    <n v="4"/>
  </r>
  <r>
    <n v="532"/>
    <s v="18/04/2026"/>
    <x v="1"/>
    <x v="0"/>
    <x v="0"/>
    <x v="0"/>
    <n v="83"/>
    <n v="2"/>
    <x v="6"/>
    <s v="2º Semestre"/>
    <x v="1"/>
    <x v="3"/>
    <n v="4"/>
  </r>
  <r>
    <n v="533"/>
    <s v="19/04/2026"/>
    <x v="3"/>
    <x v="2"/>
    <x v="2"/>
    <x v="1"/>
    <n v="22"/>
    <n v="2"/>
    <x v="6"/>
    <s v="2º Semestre"/>
    <x v="1"/>
    <x v="3"/>
    <n v="4"/>
  </r>
  <r>
    <n v="534"/>
    <s v="20/04/2026"/>
    <x v="2"/>
    <x v="5"/>
    <x v="6"/>
    <x v="2"/>
    <n v="31"/>
    <n v="2"/>
    <x v="2"/>
    <s v="2º Semestre"/>
    <x v="1"/>
    <x v="3"/>
    <n v="4"/>
  </r>
  <r>
    <n v="535"/>
    <s v="21/04/2026"/>
    <x v="4"/>
    <x v="2"/>
    <x v="2"/>
    <x v="1"/>
    <n v="39"/>
    <n v="1"/>
    <x v="4"/>
    <s v="2º Semestre"/>
    <x v="1"/>
    <x v="3"/>
    <n v="4"/>
  </r>
  <r>
    <n v="536"/>
    <s v="22/04/2026"/>
    <x v="2"/>
    <x v="2"/>
    <x v="2"/>
    <x v="1"/>
    <n v="33"/>
    <n v="3"/>
    <x v="1"/>
    <s v="2º Semestre"/>
    <x v="1"/>
    <x v="3"/>
    <n v="4"/>
  </r>
  <r>
    <n v="537"/>
    <s v="23/04/2026"/>
    <x v="4"/>
    <x v="5"/>
    <x v="6"/>
    <x v="2"/>
    <n v="30"/>
    <n v="2"/>
    <x v="2"/>
    <s v="2º Semestre"/>
    <x v="1"/>
    <x v="3"/>
    <n v="4"/>
  </r>
  <r>
    <n v="538"/>
    <s v="24/04/2026"/>
    <x v="0"/>
    <x v="0"/>
    <x v="0"/>
    <x v="0"/>
    <n v="110"/>
    <n v="1"/>
    <x v="2"/>
    <s v="2º Semestre"/>
    <x v="1"/>
    <x v="3"/>
    <n v="4"/>
  </r>
  <r>
    <n v="539"/>
    <s v="25/04/2026"/>
    <x v="4"/>
    <x v="0"/>
    <x v="0"/>
    <x v="0"/>
    <n v="33"/>
    <n v="1"/>
    <x v="6"/>
    <s v="2º Semestre"/>
    <x v="1"/>
    <x v="3"/>
    <n v="4"/>
  </r>
  <r>
    <n v="540"/>
    <s v="26/04/2026"/>
    <x v="0"/>
    <x v="0"/>
    <x v="0"/>
    <x v="0"/>
    <n v="105"/>
    <n v="1"/>
    <x v="1"/>
    <s v="2º Semestre"/>
    <x v="1"/>
    <x v="3"/>
    <n v="4"/>
  </r>
  <r>
    <n v="541"/>
    <s v="27/04/2026"/>
    <x v="2"/>
    <x v="5"/>
    <x v="6"/>
    <x v="2"/>
    <n v="31"/>
    <n v="1"/>
    <x v="6"/>
    <s v="2º Semestre"/>
    <x v="1"/>
    <x v="3"/>
    <n v="4"/>
  </r>
  <r>
    <n v="542"/>
    <s v="28/04/2026"/>
    <x v="4"/>
    <x v="5"/>
    <x v="6"/>
    <x v="2"/>
    <n v="39"/>
    <n v="1"/>
    <x v="6"/>
    <s v="2º Semestre"/>
    <x v="1"/>
    <x v="3"/>
    <n v="4"/>
  </r>
  <r>
    <n v="543"/>
    <s v="29/04/2026"/>
    <x v="4"/>
    <x v="5"/>
    <x v="6"/>
    <x v="2"/>
    <n v="30"/>
    <n v="2"/>
    <x v="1"/>
    <s v="2º Semestre"/>
    <x v="1"/>
    <x v="3"/>
    <n v="4"/>
  </r>
  <r>
    <n v="544"/>
    <s v="30/04/2026"/>
    <x v="4"/>
    <x v="0"/>
    <x v="0"/>
    <x v="0"/>
    <n v="40"/>
    <n v="3"/>
    <x v="2"/>
    <s v="2º Semestre"/>
    <x v="1"/>
    <x v="3"/>
    <n v="4"/>
  </r>
  <r>
    <n v="545"/>
    <s v="01/05/2026"/>
    <x v="2"/>
    <x v="0"/>
    <x v="0"/>
    <x v="0"/>
    <n v="50"/>
    <n v="1"/>
    <x v="2"/>
    <s v="2º Semestre"/>
    <x v="1"/>
    <x v="4"/>
    <n v="5"/>
  </r>
  <r>
    <n v="546"/>
    <s v="02/05/2026"/>
    <x v="1"/>
    <x v="5"/>
    <x v="6"/>
    <x v="2"/>
    <n v="85"/>
    <n v="3"/>
    <x v="1"/>
    <s v="2º Semestre"/>
    <x v="1"/>
    <x v="4"/>
    <n v="5"/>
  </r>
  <r>
    <n v="547"/>
    <s v="03/05/2026"/>
    <x v="2"/>
    <x v="0"/>
    <x v="0"/>
    <x v="0"/>
    <n v="37"/>
    <n v="2"/>
    <x v="1"/>
    <s v="2º Semestre"/>
    <x v="1"/>
    <x v="4"/>
    <n v="5"/>
  </r>
  <r>
    <n v="548"/>
    <s v="04/05/2026"/>
    <x v="3"/>
    <x v="0"/>
    <x v="0"/>
    <x v="0"/>
    <n v="21"/>
    <n v="1"/>
    <x v="2"/>
    <s v="2º Semestre"/>
    <x v="1"/>
    <x v="4"/>
    <n v="5"/>
  </r>
  <r>
    <n v="549"/>
    <s v="05/05/2026"/>
    <x v="4"/>
    <x v="2"/>
    <x v="2"/>
    <x v="1"/>
    <n v="40"/>
    <n v="1"/>
    <x v="2"/>
    <s v="2º Semestre"/>
    <x v="1"/>
    <x v="4"/>
    <n v="5"/>
  </r>
  <r>
    <n v="550"/>
    <s v="06/05/2026"/>
    <x v="3"/>
    <x v="0"/>
    <x v="0"/>
    <x v="0"/>
    <n v="30"/>
    <n v="1"/>
    <x v="2"/>
    <s v="2º Semestre"/>
    <x v="1"/>
    <x v="4"/>
    <n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414300-5D6D-439E-9675-3445F54C7966}" name="Tabela dinâ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23:D36" firstHeaderRow="0" firstDataRow="1" firstDataCol="1"/>
  <pivotFields count="13"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Defeitos" fld="7" baseField="0" baseItem="1"/>
    <dataField name="Soma de Produção" fld="6" baseField="11" baseItem="0" numFmtId="9"/>
  </dataFields>
  <formats count="1">
    <format dxfId="19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827DEB-8796-4832-A660-9530212E062D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 rowHeaderCaption="Área">
  <location ref="K2:L12" firstHeaderRow="1" firstDataRow="1" firstDataCol="1"/>
  <pivotFields count="13">
    <pivotField showAll="0"/>
    <pivotField showAll="0"/>
    <pivotField showAll="0"/>
    <pivotField axis="axisRow" showAll="0" sortType="descending">
      <items count="10">
        <item x="3"/>
        <item x="7"/>
        <item x="8"/>
        <item x="1"/>
        <item x="5"/>
        <item x="0"/>
        <item x="2"/>
        <item x="4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  <pivotField showAll="0">
      <items count="5">
        <item x="0"/>
        <item x="1"/>
        <item x="2"/>
        <item x="3"/>
        <item t="default"/>
      </items>
    </pivotField>
    <pivotField showAll="0"/>
    <pivotField showAll="0"/>
  </pivotFields>
  <rowFields count="1">
    <field x="3"/>
  </rowFields>
  <rowItems count="10">
    <i>
      <x v="5"/>
    </i>
    <i>
      <x v="6"/>
    </i>
    <i>
      <x v="4"/>
    </i>
    <i>
      <x/>
    </i>
    <i>
      <x v="3"/>
    </i>
    <i>
      <x v="7"/>
    </i>
    <i>
      <x v="1"/>
    </i>
    <i>
      <x v="2"/>
    </i>
    <i>
      <x v="8"/>
    </i>
    <i t="grand">
      <x/>
    </i>
  </rowItems>
  <colItems count="1">
    <i/>
  </colItems>
  <dataFields count="1">
    <dataField name="Contagem de Defeitos" fld="7" subtotal="count" baseField="3" baseItem="0"/>
  </dataFields>
  <formats count="6">
    <format dxfId="198">
      <pivotArea type="all" dataOnly="0" outline="0" fieldPosition="0"/>
    </format>
    <format dxfId="197">
      <pivotArea outline="0" collapsedLevelsAreSubtotals="1" fieldPosition="0"/>
    </format>
    <format dxfId="196">
      <pivotArea field="3" type="button" dataOnly="0" labelOnly="1" outline="0" axis="axisRow" fieldPosition="0"/>
    </format>
    <format dxfId="195">
      <pivotArea dataOnly="0" labelOnly="1" fieldPosition="0">
        <references count="1">
          <reference field="3" count="0"/>
        </references>
      </pivotArea>
    </format>
    <format dxfId="194">
      <pivotArea dataOnly="0" labelOnly="1" grandRow="1" outline="0" fieldPosition="0"/>
    </format>
    <format dxfId="193">
      <pivotArea dataOnly="0" labelOnly="1" outline="0" axis="axisValues" fieldPosition="0"/>
    </format>
  </formats>
  <chartFormats count="1">
    <chartFormat chart="1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E9C903-8E32-4CDA-8E96-1FD1CC44C706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Q1:R6" firstHeaderRow="1" firstDataRow="1" firstDataCol="1"/>
  <pivotFields count="13">
    <pivotField showAll="0"/>
    <pivotField showAll="0"/>
    <pivotField showAll="0"/>
    <pivotField dataField="1" showAll="0">
      <items count="10">
        <item x="3"/>
        <item x="7"/>
        <item x="8"/>
        <item x="1"/>
        <item x="5"/>
        <item x="0"/>
        <item x="2"/>
        <item x="4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</pivotFields>
  <rowFields count="1">
    <field x="1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ntagem de Área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306D4A-B13E-4C87-AAA0-20AE8AFA33A4}" name="Tabela dinâ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41:D54" firstHeaderRow="0" firstDataRow="1" firstDataCol="1"/>
  <pivotFields count="13"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Pós-venda" fld="8" baseField="7" baseItem="0"/>
    <dataField name="Soma de Defeito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AA07CE-1BC6-4E5A-B3B2-BEBFC9098DF0}" name="Tabela dinâmica8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10:O19" firstHeaderRow="1" firstDataRow="1" firstDataCol="1"/>
  <pivotFields count="13">
    <pivotField dataField="1" showAll="0"/>
    <pivotField showAll="0"/>
    <pivotField showAll="0"/>
    <pivotField showAll="0">
      <items count="10">
        <item x="3"/>
        <item x="7"/>
        <item x="8"/>
        <item x="1"/>
        <item x="5"/>
        <item x="0"/>
        <item x="2"/>
        <item x="4"/>
        <item x="6"/>
        <item t="default"/>
      </items>
    </pivotField>
    <pivotField showAll="0"/>
    <pivotField showAll="0"/>
    <pivotField showAll="0"/>
    <pivotField showAll="0"/>
    <pivotField axis="axisRow" showAll="0">
      <items count="9">
        <item x="6"/>
        <item x="2"/>
        <item x="1"/>
        <item x="4"/>
        <item x="0"/>
        <item x="3"/>
        <item x="5"/>
        <item x="7"/>
        <item t="default"/>
      </items>
    </pivotField>
    <pivotField showAll="0"/>
    <pivotField showAll="0">
      <items count="5">
        <item x="0"/>
        <item x="1"/>
        <item x="2"/>
        <item x="3"/>
        <item t="default"/>
      </items>
    </pivotField>
    <pivotField showAll="0"/>
    <pivotField showAll="0"/>
  </pivotFields>
  <rowFields count="1">
    <field x="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ntagem de ID" fld="0" subtotal="count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0FA31-9DBE-4E77-8872-B9F93DA07A12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1" rowHeaderCaption="Problemas">
  <location ref="H2:I17" firstHeaderRow="1" firstDataRow="1" firstDataCol="1"/>
  <pivotFields count="13">
    <pivotField showAll="0"/>
    <pivotField showAll="0"/>
    <pivotField showAll="0"/>
    <pivotField showAll="0">
      <items count="10">
        <item x="3"/>
        <item x="7"/>
        <item x="8"/>
        <item x="1"/>
        <item x="5"/>
        <item x="0"/>
        <item x="2"/>
        <item x="4"/>
        <item x="6"/>
        <item t="default"/>
      </items>
    </pivotField>
    <pivotField axis="axisRow" showAll="0" sortType="descending">
      <items count="15">
        <item x="7"/>
        <item x="8"/>
        <item x="6"/>
        <item x="2"/>
        <item x="12"/>
        <item x="13"/>
        <item x="1"/>
        <item x="5"/>
        <item x="10"/>
        <item x="3"/>
        <item x="11"/>
        <item x="0"/>
        <item x="9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>
      <items count="5">
        <item x="0"/>
        <item x="1"/>
        <item x="2"/>
        <item x="3"/>
        <item t="default"/>
      </items>
    </pivotField>
    <pivotField showAll="0"/>
    <pivotField showAll="0"/>
  </pivotFields>
  <rowFields count="1">
    <field x="4"/>
  </rowFields>
  <rowItems count="15">
    <i>
      <x v="11"/>
    </i>
    <i>
      <x v="3"/>
    </i>
    <i>
      <x v="2"/>
    </i>
    <i>
      <x v="9"/>
    </i>
    <i>
      <x v="7"/>
    </i>
    <i>
      <x v="6"/>
    </i>
    <i>
      <x v="8"/>
    </i>
    <i>
      <x v="1"/>
    </i>
    <i>
      <x v="10"/>
    </i>
    <i>
      <x v="5"/>
    </i>
    <i>
      <x v="13"/>
    </i>
    <i>
      <x/>
    </i>
    <i>
      <x v="4"/>
    </i>
    <i>
      <x v="12"/>
    </i>
    <i t="grand">
      <x/>
    </i>
  </rowItems>
  <colItems count="1">
    <i/>
  </colItems>
  <dataFields count="1">
    <dataField name="Contagem de Defeitos" fld="7" subtotal="count" baseField="4" baseItem="0"/>
  </dataFields>
  <formats count="6">
    <format dxfId="204">
      <pivotArea type="all" dataOnly="0" outline="0" fieldPosition="0"/>
    </format>
    <format dxfId="203">
      <pivotArea outline="0" collapsedLevelsAreSubtotals="1" fieldPosition="0"/>
    </format>
    <format dxfId="202">
      <pivotArea field="4" type="button" dataOnly="0" labelOnly="1" outline="0" axis="axisRow" fieldPosition="0"/>
    </format>
    <format dxfId="201">
      <pivotArea dataOnly="0" labelOnly="1" fieldPosition="0">
        <references count="1">
          <reference field="4" count="0"/>
        </references>
      </pivotArea>
    </format>
    <format dxfId="200">
      <pivotArea dataOnly="0" labelOnly="1" grandRow="1" outline="0" fieldPosition="0"/>
    </format>
    <format dxfId="19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3224B6-F8DF-4E12-BF93-C89F27651A51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B2:C15" firstHeaderRow="1" firstDataRow="1" firstDataCol="1"/>
  <pivotFields count="13">
    <pivotField showAll="0"/>
    <pivotField showAll="0"/>
    <pivotField showAll="0"/>
    <pivotField showAll="0">
      <items count="10">
        <item x="3"/>
        <item x="7"/>
        <item x="8"/>
        <item x="1"/>
        <item x="5"/>
        <item x="0"/>
        <item x="2"/>
        <item x="4"/>
        <item x="6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oma de Defeitos" fld="7" baseField="0" baseItem="0"/>
  </dataField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27B5F6-163E-4BD6-8449-45220B40D8A8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2:O7" firstHeaderRow="1" firstDataRow="1" firstDataCol="1"/>
  <pivotFields count="13">
    <pivotField showAll="0"/>
    <pivotField showAll="0"/>
    <pivotField showAll="0"/>
    <pivotField showAll="0">
      <items count="10">
        <item x="3"/>
        <item x="7"/>
        <item x="8"/>
        <item x="1"/>
        <item x="5"/>
        <item x="0"/>
        <item x="2"/>
        <item x="4"/>
        <item x="6"/>
        <item t="default"/>
      </items>
    </pivotField>
    <pivotField showAll="0"/>
    <pivotField axis="axisRow" showAll="0" sortType="descending">
      <items count="5">
        <item x="0"/>
        <item x="2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>
      <items count="5">
        <item x="0"/>
        <item x="1"/>
        <item x="2"/>
        <item x="3"/>
        <item t="default"/>
      </items>
    </pivotField>
    <pivotField showAll="0"/>
    <pivotField showAll="0"/>
  </pivotFields>
  <rowFields count="1">
    <field x="5"/>
  </rowFields>
  <rowItems count="5">
    <i>
      <x/>
    </i>
    <i>
      <x v="3"/>
    </i>
    <i>
      <x v="1"/>
    </i>
    <i>
      <x v="2"/>
    </i>
    <i t="grand">
      <x/>
    </i>
  </rowItems>
  <colItems count="1">
    <i/>
  </colItems>
  <dataFields count="1">
    <dataField name="Contagem de Defeitos" fld="7" subtotal="count" baseField="5" baseItem="0"/>
  </dataFields>
  <formats count="6">
    <format dxfId="210">
      <pivotArea type="all" dataOnly="0" outline="0" fieldPosition="0"/>
    </format>
    <format dxfId="209">
      <pivotArea outline="0" collapsedLevelsAreSubtotals="1" fieldPosition="0"/>
    </format>
    <format dxfId="208">
      <pivotArea field="5" type="button" dataOnly="0" labelOnly="1" outline="0" axis="axisRow" fieldPosition="0"/>
    </format>
    <format dxfId="207">
      <pivotArea dataOnly="0" labelOnly="1" fieldPosition="0">
        <references count="1">
          <reference field="5" count="0"/>
        </references>
      </pivotArea>
    </format>
    <format dxfId="206">
      <pivotArea dataOnly="0" labelOnly="1" grandRow="1" outline="0" fieldPosition="0"/>
    </format>
    <format dxfId="20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13E28-4C16-4EB8-B1DB-784A3B1CEEFE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Modelos">
  <location ref="E2:F8" firstHeaderRow="1" firstDataRow="1" firstDataCol="1"/>
  <pivotFields count="13">
    <pivotField showAll="0"/>
    <pivotField showAll="0"/>
    <pivotField axis="axisRow" showAll="0" sortType="descending">
      <items count="6">
        <item x="4"/>
        <item x="2"/>
        <item x="3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0">
        <item x="3"/>
        <item x="7"/>
        <item x="8"/>
        <item x="1"/>
        <item x="5"/>
        <item x="0"/>
        <item x="2"/>
        <item x="4"/>
        <item x="6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>
      <items count="5">
        <item x="0"/>
        <item x="1"/>
        <item x="2"/>
        <item x="3"/>
        <item t="default"/>
      </items>
    </pivotField>
    <pivotField showAll="0"/>
    <pivotField showAll="0"/>
  </pivotFields>
  <rowFields count="1">
    <field x="2"/>
  </rowFields>
  <rowItems count="6">
    <i>
      <x v="4"/>
    </i>
    <i>
      <x/>
    </i>
    <i>
      <x v="2"/>
    </i>
    <i>
      <x v="1"/>
    </i>
    <i>
      <x v="3"/>
    </i>
    <i t="grand">
      <x/>
    </i>
  </rowItems>
  <colItems count="1">
    <i/>
  </colItems>
  <dataFields count="1">
    <dataField name="Contagem de Defeitos" fld="7" subtotal="count" baseField="2" baseItem="0"/>
  </dataFields>
  <formats count="6">
    <format dxfId="216">
      <pivotArea type="all" dataOnly="0" outline="0" fieldPosition="0"/>
    </format>
    <format dxfId="215">
      <pivotArea outline="0" collapsedLevelsAreSubtotals="1" fieldPosition="0"/>
    </format>
    <format dxfId="214">
      <pivotArea field="2" type="button" dataOnly="0" labelOnly="1" outline="0" axis="axisRow" fieldPosition="0"/>
    </format>
    <format dxfId="213">
      <pivotArea dataOnly="0" labelOnly="1" fieldPosition="0">
        <references count="1">
          <reference field="2" count="0"/>
        </references>
      </pivotArea>
    </format>
    <format dxfId="212">
      <pivotArea dataOnly="0" labelOnly="1" grandRow="1" outline="0" fieldPosition="0"/>
    </format>
    <format dxfId="21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rimestre" xr10:uid="{22677715-D2B7-4BD4-A70C-BAF8F3956B37}" sourceName="Trimestre">
  <pivotTables>
    <pivotTable tabId="2" name="Tabela dinâmica6"/>
    <pivotTable tabId="2" name="Tabela dinâmica2"/>
    <pivotTable tabId="2" name="Tabela dinâmica3"/>
    <pivotTable tabId="2" name="Tabela dinâmica4"/>
    <pivotTable tabId="2" name="Tabela dinâmica5"/>
    <pivotTable tabId="2" name="Tabela dinâmica8"/>
    <pivotTable tabId="2" name="Tabela dinâmica1"/>
  </pivotTables>
  <data>
    <tabular pivotCacheId="108940106">
      <items count="4">
        <i x="0" s="1"/>
        <i x="1" s="1"/>
        <i x="2" s="1"/>
        <i x="3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94444190-CE4E-4CF3-A8DC-44CA8821097A}" sourceName="Área">
  <pivotTables>
    <pivotTable tabId="2" name="Tabela dinâmica6"/>
    <pivotTable tabId="2" name="Tabela dinâmica2"/>
    <pivotTable tabId="2" name="Tabela dinâmica3"/>
    <pivotTable tabId="2" name="Tabela dinâmica4"/>
    <pivotTable tabId="2" name="Tabela dinâmica5"/>
    <pivotTable tabId="2" name="Tabela dinâmica8"/>
    <pivotTable tabId="2" name="Tabela dinâmica1"/>
  </pivotTables>
  <data>
    <tabular pivotCacheId="108940106">
      <items count="9">
        <i x="3" s="1"/>
        <i x="7" s="1"/>
        <i x="8" s="1"/>
        <i x="1" s="1"/>
        <i x="5" s="1"/>
        <i x="0" s="1"/>
        <i x="2" s="1"/>
        <i x="4" s="1"/>
        <i x="6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rimestre 2" xr10:uid="{E2F4E014-BA7B-4AB2-9F42-6CC37033EC6E}" cache="SegmentaçãodeDados_Trimestre" caption="Trimestre" style="Estilo Dashboard" rowHeight="247650"/>
  <slicer name="Área 2" xr10:uid="{07BA753E-9D4B-400B-A521-A53EC8C0694A}" cache="SegmentaçãodeDados_Área" caption="Área" style="Estilo Dashboard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2F4F32-B10B-463B-9C01-14E85964D2D0}" name="Tb.qualidade" displayName="Tb.qualidade" ref="B1:N551" totalsRowShown="0" headerRowDxfId="231" dataDxfId="230">
  <autoFilter ref="B1:N551" xr:uid="{C92F4F32-B10B-463B-9C01-14E85964D2D0}"/>
  <tableColumns count="13">
    <tableColumn id="1" xr3:uid="{A63ADE69-3ABE-41A2-B67D-31635CBE9027}" name="ID" dataDxfId="229"/>
    <tableColumn id="2" xr3:uid="{6F163294-0E76-4CDE-B864-66255C9EB415}" name="Data" dataDxfId="228"/>
    <tableColumn id="3" xr3:uid="{5D727ED5-9498-4F98-805A-F2F7EFDC5381}" name="Modelo" dataDxfId="227"/>
    <tableColumn id="4" xr3:uid="{A6B563EC-6EFF-4987-9037-00AD17A72721}" name="Área" dataDxfId="226"/>
    <tableColumn id="5" xr3:uid="{CA0E3582-513D-4995-90FE-641573EC7222}" name="Problema" dataDxfId="225"/>
    <tableColumn id="6" xr3:uid="{4B0B5C34-346E-4376-8CAF-485A578126A4}" name="Gravidade" dataDxfId="224"/>
    <tableColumn id="7" xr3:uid="{87A5C3EE-62B4-4E3D-AA0B-B672B72C4D22}" name="Produção" dataDxfId="223"/>
    <tableColumn id="8" xr3:uid="{689A1BFF-3765-42BC-B421-0D5F7741057F}" name="Defeitos" dataDxfId="222"/>
    <tableColumn id="9" xr3:uid="{AF07F901-98E9-4472-BC6D-F05A73267719}" name="Pós-venda" dataDxfId="221"/>
    <tableColumn id="10" xr3:uid="{CFC32DD3-C128-4EEB-A3A6-F0521EBBE220}" name="Semestre" dataDxfId="220">
      <calculatedColumnFormula>IF(MONTH(M2 &amp; " 1")&lt;=6, "1º Semestre", "2º Semestre")</calculatedColumnFormula>
    </tableColumn>
    <tableColumn id="11" xr3:uid="{6B413DEB-0B7F-4E86-9BC3-299FD6785407}" name="Trimestre" dataDxfId="219">
      <calculatedColumnFormula>"T"&amp;ROUNDUP(VALUE(N2)/3,0)</calculatedColumnFormula>
    </tableColumn>
    <tableColumn id="12" xr3:uid="{E8129277-D91A-441D-A049-7207BE6DEBA3}" name="Mês" dataDxfId="218">
      <calculatedColumnFormula>TEXT(C2,"MMM")</calculatedColumnFormula>
    </tableColumn>
    <tableColumn id="13" xr3:uid="{E478A976-1CEA-4DE2-92AE-1BF13ADCD023}" name="Nº Mês" dataDxfId="217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Amarelo">
      <a:dk1>
        <a:sysClr val="windowText" lastClr="000000"/>
      </a:dk1>
      <a:lt1>
        <a:sysClr val="window" lastClr="FFFFFF"/>
      </a:lt1>
      <a:dk2>
        <a:srgbClr val="39302A"/>
      </a:dk2>
      <a:lt2>
        <a:srgbClr val="E5DEDB"/>
      </a:lt2>
      <a:accent1>
        <a:srgbClr val="FFCA08"/>
      </a:accent1>
      <a:accent2>
        <a:srgbClr val="F8931D"/>
      </a:accent2>
      <a:accent3>
        <a:srgbClr val="CE8D3E"/>
      </a:accent3>
      <a:accent4>
        <a:srgbClr val="EC7016"/>
      </a:accent4>
      <a:accent5>
        <a:srgbClr val="E64823"/>
      </a:accent5>
      <a:accent6>
        <a:srgbClr val="9C6A6A"/>
      </a:accent6>
      <a:hlink>
        <a:srgbClr val="2998E3"/>
      </a:hlink>
      <a:folHlink>
        <a:srgbClr val="7F723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drawing" Target="../drawings/drawing1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02409-CA7F-423E-B864-216D2AAEDCC5}">
  <sheetPr codeName="Planilha1"/>
  <dimension ref="B1:N551"/>
  <sheetViews>
    <sheetView topLeftCell="A81" zoomScaleNormal="100" workbookViewId="0">
      <selection activeCell="A14" sqref="A14"/>
    </sheetView>
  </sheetViews>
  <sheetFormatPr defaultRowHeight="14.4" x14ac:dyDescent="0.3"/>
  <cols>
    <col min="2" max="2" width="7.21875" bestFit="1" customWidth="1"/>
    <col min="3" max="3" width="10.33203125" bestFit="1" customWidth="1"/>
    <col min="4" max="4" width="11.5546875" bestFit="1" customWidth="1"/>
    <col min="5" max="5" width="11.21875" bestFit="1" customWidth="1"/>
    <col min="6" max="6" width="32.6640625" bestFit="1" customWidth="1"/>
    <col min="7" max="7" width="14.109375" bestFit="1" customWidth="1"/>
    <col min="8" max="8" width="13.33203125" bestFit="1" customWidth="1"/>
    <col min="9" max="9" width="12.33203125" bestFit="1" customWidth="1"/>
    <col min="10" max="10" width="11.5546875" customWidth="1"/>
    <col min="11" max="12" width="13.44140625" bestFit="1" customWidth="1"/>
    <col min="13" max="13" width="8.77734375" bestFit="1" customWidth="1"/>
    <col min="14" max="14" width="11.33203125" bestFit="1" customWidth="1"/>
  </cols>
  <sheetData>
    <row r="1" spans="2:14" x14ac:dyDescent="0.3">
      <c r="B1" s="26" t="s">
        <v>0</v>
      </c>
      <c r="C1" s="26" t="s">
        <v>1</v>
      </c>
      <c r="D1" s="26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6" t="s">
        <v>89</v>
      </c>
      <c r="L1" s="26" t="s">
        <v>90</v>
      </c>
      <c r="M1" s="26" t="s">
        <v>91</v>
      </c>
      <c r="N1" s="26" t="s">
        <v>92</v>
      </c>
    </row>
    <row r="2" spans="2:14" x14ac:dyDescent="0.3">
      <c r="B2">
        <v>1</v>
      </c>
      <c r="C2" s="1">
        <v>45660</v>
      </c>
      <c r="D2" t="s">
        <v>9</v>
      </c>
      <c r="E2" t="s">
        <v>14</v>
      </c>
      <c r="F2" t="s">
        <v>22</v>
      </c>
      <c r="G2" t="s">
        <v>32</v>
      </c>
      <c r="H2">
        <v>121</v>
      </c>
      <c r="I2">
        <v>7</v>
      </c>
      <c r="J2">
        <v>4</v>
      </c>
      <c r="K2" s="2" t="str">
        <f>IF(MONTH(M2 &amp; " 1")&lt;=6, "1º Semestre", "2º Semestre")</f>
        <v>1º Semestre</v>
      </c>
      <c r="L2" s="2" t="str">
        <f>"T"&amp;ROUNDUP(VALUE(N2)/3,0)</f>
        <v>T1</v>
      </c>
      <c r="M2" s="2" t="str">
        <f t="shared" ref="M2:M65" si="0">TEXT(C2,"MMM")</f>
        <v>jan</v>
      </c>
      <c r="N2" s="2">
        <v>1</v>
      </c>
    </row>
    <row r="3" spans="2:14" x14ac:dyDescent="0.3">
      <c r="B3">
        <v>2</v>
      </c>
      <c r="C3" s="1">
        <v>45660</v>
      </c>
      <c r="D3" t="s">
        <v>9</v>
      </c>
      <c r="E3" t="s">
        <v>15</v>
      </c>
      <c r="F3" t="s">
        <v>23</v>
      </c>
      <c r="G3" t="s">
        <v>32</v>
      </c>
      <c r="H3">
        <v>109</v>
      </c>
      <c r="I3">
        <v>3</v>
      </c>
      <c r="J3">
        <v>2</v>
      </c>
      <c r="K3" s="2" t="str">
        <f t="shared" ref="K3:K66" si="1">IF(MONTH(M3 &amp; " 1")&lt;=6, "1º Semestre", "2º Semestre")</f>
        <v>1º Semestre</v>
      </c>
      <c r="L3" s="2" t="str">
        <f t="shared" ref="L3:L66" si="2">"T"&amp;ROUNDUP(VALUE(N3)/3,0)</f>
        <v>T1</v>
      </c>
      <c r="M3" s="2" t="str">
        <f t="shared" si="0"/>
        <v>jan</v>
      </c>
      <c r="N3" s="2">
        <v>1</v>
      </c>
    </row>
    <row r="4" spans="2:14" x14ac:dyDescent="0.3">
      <c r="B4">
        <v>3</v>
      </c>
      <c r="C4" s="1">
        <v>45662</v>
      </c>
      <c r="D4" t="s">
        <v>10</v>
      </c>
      <c r="E4" t="s">
        <v>16</v>
      </c>
      <c r="F4" t="s">
        <v>24</v>
      </c>
      <c r="G4" t="s">
        <v>33</v>
      </c>
      <c r="H4">
        <v>97</v>
      </c>
      <c r="I4">
        <v>9</v>
      </c>
      <c r="J4">
        <v>1</v>
      </c>
      <c r="K4" s="2" t="str">
        <f t="shared" si="1"/>
        <v>1º Semestre</v>
      </c>
      <c r="L4" s="2" t="str">
        <f t="shared" si="2"/>
        <v>T1</v>
      </c>
      <c r="M4" s="2" t="str">
        <f t="shared" si="0"/>
        <v>jan</v>
      </c>
      <c r="N4" s="2">
        <v>1</v>
      </c>
    </row>
    <row r="5" spans="2:14" x14ac:dyDescent="0.3">
      <c r="B5">
        <v>4</v>
      </c>
      <c r="C5" s="1">
        <v>45663</v>
      </c>
      <c r="D5" t="s">
        <v>11</v>
      </c>
      <c r="E5" t="s">
        <v>17</v>
      </c>
      <c r="F5" t="s">
        <v>25</v>
      </c>
      <c r="G5" t="s">
        <v>33</v>
      </c>
      <c r="H5">
        <v>50</v>
      </c>
      <c r="I5">
        <v>6</v>
      </c>
      <c r="J5">
        <v>5</v>
      </c>
      <c r="K5" s="2" t="str">
        <f t="shared" si="1"/>
        <v>1º Semestre</v>
      </c>
      <c r="L5" s="2" t="str">
        <f t="shared" si="2"/>
        <v>T1</v>
      </c>
      <c r="M5" s="2" t="str">
        <f t="shared" si="0"/>
        <v>jan</v>
      </c>
      <c r="N5" s="2">
        <v>1</v>
      </c>
    </row>
    <row r="6" spans="2:14" x14ac:dyDescent="0.3">
      <c r="B6">
        <v>5</v>
      </c>
      <c r="C6" s="1">
        <v>45664</v>
      </c>
      <c r="D6" t="s">
        <v>12</v>
      </c>
      <c r="E6" t="s">
        <v>18</v>
      </c>
      <c r="F6" t="s">
        <v>26</v>
      </c>
      <c r="G6" t="s">
        <v>32</v>
      </c>
      <c r="H6">
        <v>30</v>
      </c>
      <c r="I6">
        <v>2</v>
      </c>
      <c r="J6">
        <v>2</v>
      </c>
      <c r="K6" s="2" t="str">
        <f t="shared" si="1"/>
        <v>1º Semestre</v>
      </c>
      <c r="L6" s="2" t="str">
        <f t="shared" si="2"/>
        <v>T1</v>
      </c>
      <c r="M6" s="2" t="str">
        <f t="shared" si="0"/>
        <v>jan</v>
      </c>
      <c r="N6" s="2">
        <v>1</v>
      </c>
    </row>
    <row r="7" spans="2:14" x14ac:dyDescent="0.3">
      <c r="B7">
        <v>6</v>
      </c>
      <c r="C7" s="1">
        <v>45665</v>
      </c>
      <c r="D7" t="s">
        <v>9</v>
      </c>
      <c r="E7" t="s">
        <v>14</v>
      </c>
      <c r="F7" t="s">
        <v>27</v>
      </c>
      <c r="G7" t="s">
        <v>32</v>
      </c>
      <c r="H7">
        <v>125</v>
      </c>
      <c r="I7">
        <v>4</v>
      </c>
      <c r="J7">
        <v>3</v>
      </c>
      <c r="K7" s="2" t="str">
        <f t="shared" si="1"/>
        <v>1º Semestre</v>
      </c>
      <c r="L7" s="2" t="str">
        <f t="shared" si="2"/>
        <v>T1</v>
      </c>
      <c r="M7" s="2" t="str">
        <f t="shared" si="0"/>
        <v>jan</v>
      </c>
      <c r="N7" s="2">
        <v>1</v>
      </c>
    </row>
    <row r="8" spans="2:14" x14ac:dyDescent="0.3">
      <c r="B8">
        <v>7</v>
      </c>
      <c r="C8" s="1">
        <v>45666</v>
      </c>
      <c r="D8" t="s">
        <v>13</v>
      </c>
      <c r="E8" t="s">
        <v>19</v>
      </c>
      <c r="F8" t="s">
        <v>28</v>
      </c>
      <c r="G8" t="s">
        <v>34</v>
      </c>
      <c r="H8">
        <v>30</v>
      </c>
      <c r="I8">
        <v>5</v>
      </c>
      <c r="J8">
        <v>2</v>
      </c>
      <c r="K8" s="2" t="str">
        <f t="shared" si="1"/>
        <v>1º Semestre</v>
      </c>
      <c r="L8" s="2" t="str">
        <f t="shared" si="2"/>
        <v>T1</v>
      </c>
      <c r="M8" s="2" t="str">
        <f t="shared" si="0"/>
        <v>jan</v>
      </c>
      <c r="N8" s="2">
        <v>1</v>
      </c>
    </row>
    <row r="9" spans="2:14" x14ac:dyDescent="0.3">
      <c r="B9">
        <v>8</v>
      </c>
      <c r="C9" s="1">
        <v>45667</v>
      </c>
      <c r="D9" t="s">
        <v>10</v>
      </c>
      <c r="E9" t="s">
        <v>20</v>
      </c>
      <c r="F9" t="s">
        <v>29</v>
      </c>
      <c r="G9" t="s">
        <v>35</v>
      </c>
      <c r="H9">
        <v>99</v>
      </c>
      <c r="I9">
        <v>1</v>
      </c>
      <c r="J9">
        <v>1</v>
      </c>
      <c r="K9" s="2" t="str">
        <f t="shared" si="1"/>
        <v>1º Semestre</v>
      </c>
      <c r="L9" s="2" t="str">
        <f t="shared" si="2"/>
        <v>T1</v>
      </c>
      <c r="M9" s="2" t="str">
        <f t="shared" si="0"/>
        <v>jan</v>
      </c>
      <c r="N9" s="2">
        <v>1</v>
      </c>
    </row>
    <row r="10" spans="2:14" x14ac:dyDescent="0.3">
      <c r="B10">
        <v>9</v>
      </c>
      <c r="C10" s="1">
        <v>45667</v>
      </c>
      <c r="D10" t="s">
        <v>9</v>
      </c>
      <c r="E10" t="s">
        <v>21</v>
      </c>
      <c r="F10" t="s">
        <v>30</v>
      </c>
      <c r="G10" t="s">
        <v>33</v>
      </c>
      <c r="H10">
        <v>113</v>
      </c>
      <c r="I10">
        <v>5</v>
      </c>
      <c r="J10">
        <v>4</v>
      </c>
      <c r="K10" s="2" t="str">
        <f t="shared" si="1"/>
        <v>1º Semestre</v>
      </c>
      <c r="L10" s="2" t="str">
        <f t="shared" si="2"/>
        <v>T1</v>
      </c>
      <c r="M10" s="2" t="str">
        <f t="shared" si="0"/>
        <v>jan</v>
      </c>
      <c r="N10" s="2">
        <v>1</v>
      </c>
    </row>
    <row r="11" spans="2:14" x14ac:dyDescent="0.3">
      <c r="B11">
        <v>10</v>
      </c>
      <c r="C11" s="1">
        <v>45668</v>
      </c>
      <c r="D11" t="s">
        <v>12</v>
      </c>
      <c r="E11" t="s">
        <v>18</v>
      </c>
      <c r="F11" t="s">
        <v>31</v>
      </c>
      <c r="G11" t="s">
        <v>32</v>
      </c>
      <c r="H11">
        <v>30</v>
      </c>
      <c r="I11">
        <v>3</v>
      </c>
      <c r="J11">
        <v>2</v>
      </c>
      <c r="K11" s="2" t="str">
        <f t="shared" si="1"/>
        <v>1º Semestre</v>
      </c>
      <c r="L11" s="2" t="str">
        <f t="shared" si="2"/>
        <v>T1</v>
      </c>
      <c r="M11" s="2" t="str">
        <f t="shared" si="0"/>
        <v>jan</v>
      </c>
      <c r="N11" s="2">
        <v>1</v>
      </c>
    </row>
    <row r="12" spans="2:14" x14ac:dyDescent="0.3">
      <c r="B12">
        <v>11</v>
      </c>
      <c r="C12" t="s">
        <v>41</v>
      </c>
      <c r="D12" t="s">
        <v>11</v>
      </c>
      <c r="E12" t="s">
        <v>16</v>
      </c>
      <c r="F12" t="s">
        <v>36</v>
      </c>
      <c r="G12" t="s">
        <v>34</v>
      </c>
      <c r="H12">
        <v>41</v>
      </c>
      <c r="I12">
        <v>12</v>
      </c>
      <c r="J12">
        <v>1</v>
      </c>
      <c r="K12" s="2" t="str">
        <f t="shared" si="1"/>
        <v>1º Semestre</v>
      </c>
      <c r="L12" s="2" t="str">
        <f t="shared" si="2"/>
        <v>T1</v>
      </c>
      <c r="M12" s="2" t="str">
        <f t="shared" si="0"/>
        <v>jan</v>
      </c>
      <c r="N12" s="2">
        <v>1</v>
      </c>
    </row>
    <row r="13" spans="2:14" x14ac:dyDescent="0.3">
      <c r="B13">
        <v>12</v>
      </c>
      <c r="C13" t="s">
        <v>42</v>
      </c>
      <c r="D13" t="s">
        <v>9</v>
      </c>
      <c r="E13" t="s">
        <v>37</v>
      </c>
      <c r="F13" t="s">
        <v>38</v>
      </c>
      <c r="G13" t="s">
        <v>33</v>
      </c>
      <c r="H13">
        <v>117</v>
      </c>
      <c r="I13">
        <v>7</v>
      </c>
      <c r="J13">
        <v>5</v>
      </c>
      <c r="K13" s="2" t="str">
        <f t="shared" si="1"/>
        <v>1º Semestre</v>
      </c>
      <c r="L13" s="2" t="str">
        <f t="shared" si="2"/>
        <v>T1</v>
      </c>
      <c r="M13" s="2" t="str">
        <f t="shared" si="0"/>
        <v>jan</v>
      </c>
      <c r="N13" s="2">
        <v>1</v>
      </c>
    </row>
    <row r="14" spans="2:14" x14ac:dyDescent="0.3">
      <c r="B14">
        <v>13</v>
      </c>
      <c r="C14" t="s">
        <v>43</v>
      </c>
      <c r="D14" t="s">
        <v>10</v>
      </c>
      <c r="E14" t="s">
        <v>17</v>
      </c>
      <c r="F14" t="s">
        <v>39</v>
      </c>
      <c r="G14" t="s">
        <v>33</v>
      </c>
      <c r="H14">
        <v>102</v>
      </c>
      <c r="I14">
        <v>6</v>
      </c>
      <c r="J14">
        <v>4</v>
      </c>
      <c r="K14" s="2" t="str">
        <f t="shared" si="1"/>
        <v>1º Semestre</v>
      </c>
      <c r="L14" s="2" t="str">
        <f t="shared" si="2"/>
        <v>T1</v>
      </c>
      <c r="M14" s="2" t="str">
        <f t="shared" si="0"/>
        <v>jan</v>
      </c>
      <c r="N14" s="2">
        <v>1</v>
      </c>
    </row>
    <row r="15" spans="2:14" x14ac:dyDescent="0.3">
      <c r="B15">
        <v>14</v>
      </c>
      <c r="C15" t="s">
        <v>44</v>
      </c>
      <c r="D15" t="s">
        <v>12</v>
      </c>
      <c r="E15" t="s">
        <v>14</v>
      </c>
      <c r="F15" t="s">
        <v>22</v>
      </c>
      <c r="G15" t="s">
        <v>32</v>
      </c>
      <c r="H15">
        <v>28</v>
      </c>
      <c r="I15">
        <v>5</v>
      </c>
      <c r="J15">
        <v>3</v>
      </c>
      <c r="K15" s="2" t="str">
        <f t="shared" si="1"/>
        <v>1º Semestre</v>
      </c>
      <c r="L15" s="2" t="str">
        <f t="shared" si="2"/>
        <v>T1</v>
      </c>
      <c r="M15" s="2" t="str">
        <f t="shared" si="0"/>
        <v>jan</v>
      </c>
      <c r="N15" s="2">
        <v>1</v>
      </c>
    </row>
    <row r="16" spans="2:14" x14ac:dyDescent="0.3">
      <c r="B16">
        <v>15</v>
      </c>
      <c r="C16" t="s">
        <v>45</v>
      </c>
      <c r="D16" t="s">
        <v>13</v>
      </c>
      <c r="E16" t="s">
        <v>19</v>
      </c>
      <c r="F16" t="s">
        <v>28</v>
      </c>
      <c r="G16" t="s">
        <v>34</v>
      </c>
      <c r="H16">
        <v>30</v>
      </c>
      <c r="I16">
        <v>8</v>
      </c>
      <c r="J16">
        <v>3</v>
      </c>
      <c r="K16" s="2" t="str">
        <f t="shared" si="1"/>
        <v>1º Semestre</v>
      </c>
      <c r="L16" s="2" t="str">
        <f t="shared" si="2"/>
        <v>T1</v>
      </c>
      <c r="M16" s="2" t="str">
        <f t="shared" si="0"/>
        <v>jan</v>
      </c>
      <c r="N16" s="2">
        <v>1</v>
      </c>
    </row>
    <row r="17" spans="2:14" x14ac:dyDescent="0.3">
      <c r="B17">
        <v>16</v>
      </c>
      <c r="C17" t="s">
        <v>46</v>
      </c>
      <c r="D17" t="s">
        <v>9</v>
      </c>
      <c r="E17" t="s">
        <v>15</v>
      </c>
      <c r="F17" t="s">
        <v>40</v>
      </c>
      <c r="G17" t="s">
        <v>32</v>
      </c>
      <c r="H17">
        <v>105</v>
      </c>
      <c r="I17">
        <v>4</v>
      </c>
      <c r="J17">
        <v>3</v>
      </c>
      <c r="K17" s="2" t="str">
        <f t="shared" si="1"/>
        <v>1º Semestre</v>
      </c>
      <c r="L17" s="2" t="str">
        <f t="shared" si="2"/>
        <v>T1</v>
      </c>
      <c r="M17" s="2" t="str">
        <f t="shared" si="0"/>
        <v>jan</v>
      </c>
      <c r="N17" s="2">
        <v>1</v>
      </c>
    </row>
    <row r="18" spans="2:14" x14ac:dyDescent="0.3">
      <c r="B18">
        <v>17</v>
      </c>
      <c r="C18" t="s">
        <v>47</v>
      </c>
      <c r="D18" t="s">
        <v>10</v>
      </c>
      <c r="E18" t="s">
        <v>16</v>
      </c>
      <c r="F18" t="s">
        <v>24</v>
      </c>
      <c r="G18" t="s">
        <v>33</v>
      </c>
      <c r="H18">
        <v>95</v>
      </c>
      <c r="I18">
        <v>10</v>
      </c>
      <c r="J18">
        <v>2</v>
      </c>
      <c r="K18" s="2" t="str">
        <f t="shared" si="1"/>
        <v>1º Semestre</v>
      </c>
      <c r="L18" s="2" t="str">
        <f t="shared" si="2"/>
        <v>T1</v>
      </c>
      <c r="M18" s="2" t="str">
        <f t="shared" si="0"/>
        <v>jan</v>
      </c>
      <c r="N18" s="2">
        <v>1</v>
      </c>
    </row>
    <row r="19" spans="2:14" x14ac:dyDescent="0.3">
      <c r="B19">
        <v>18</v>
      </c>
      <c r="C19" t="s">
        <v>48</v>
      </c>
      <c r="D19" t="s">
        <v>11</v>
      </c>
      <c r="E19" t="s">
        <v>17</v>
      </c>
      <c r="F19" t="s">
        <v>25</v>
      </c>
      <c r="G19" t="s">
        <v>33</v>
      </c>
      <c r="H19">
        <v>50</v>
      </c>
      <c r="I19">
        <v>8</v>
      </c>
      <c r="J19">
        <v>6</v>
      </c>
      <c r="K19" s="2" t="str">
        <f t="shared" si="1"/>
        <v>1º Semestre</v>
      </c>
      <c r="L19" s="2" t="str">
        <f t="shared" si="2"/>
        <v>T1</v>
      </c>
      <c r="M19" s="2" t="str">
        <f t="shared" si="0"/>
        <v>jan</v>
      </c>
      <c r="N19" s="2">
        <v>1</v>
      </c>
    </row>
    <row r="20" spans="2:14" x14ac:dyDescent="0.3">
      <c r="B20">
        <v>19</v>
      </c>
      <c r="C20" t="s">
        <v>49</v>
      </c>
      <c r="D20" t="s">
        <v>9</v>
      </c>
      <c r="E20" t="s">
        <v>14</v>
      </c>
      <c r="F20" t="s">
        <v>27</v>
      </c>
      <c r="G20" t="s">
        <v>32</v>
      </c>
      <c r="H20">
        <v>127</v>
      </c>
      <c r="I20">
        <v>3</v>
      </c>
      <c r="J20">
        <v>2</v>
      </c>
      <c r="K20" s="2" t="str">
        <f t="shared" si="1"/>
        <v>1º Semestre</v>
      </c>
      <c r="L20" s="2" t="str">
        <f t="shared" si="2"/>
        <v>T1</v>
      </c>
      <c r="M20" s="2" t="str">
        <f t="shared" si="0"/>
        <v>jan</v>
      </c>
      <c r="N20" s="2">
        <v>1</v>
      </c>
    </row>
    <row r="21" spans="2:14" x14ac:dyDescent="0.3">
      <c r="B21">
        <v>20</v>
      </c>
      <c r="C21" t="s">
        <v>50</v>
      </c>
      <c r="D21" t="s">
        <v>12</v>
      </c>
      <c r="E21" t="s">
        <v>18</v>
      </c>
      <c r="F21" t="s">
        <v>26</v>
      </c>
      <c r="G21" t="s">
        <v>32</v>
      </c>
      <c r="H21">
        <v>28</v>
      </c>
      <c r="I21">
        <v>2</v>
      </c>
      <c r="J21">
        <v>2</v>
      </c>
      <c r="K21" s="2" t="str">
        <f t="shared" si="1"/>
        <v>1º Semestre</v>
      </c>
      <c r="L21" s="2" t="str">
        <f t="shared" si="2"/>
        <v>T1</v>
      </c>
      <c r="M21" s="2" t="str">
        <f t="shared" si="0"/>
        <v>jan</v>
      </c>
      <c r="N21" s="2">
        <v>1</v>
      </c>
    </row>
    <row r="22" spans="2:14" x14ac:dyDescent="0.3">
      <c r="B22">
        <v>21</v>
      </c>
      <c r="C22" t="s">
        <v>51</v>
      </c>
      <c r="D22" t="s">
        <v>9</v>
      </c>
      <c r="E22" t="s">
        <v>14</v>
      </c>
      <c r="F22" t="s">
        <v>22</v>
      </c>
      <c r="G22" t="s">
        <v>32</v>
      </c>
      <c r="H22">
        <v>111</v>
      </c>
      <c r="I22">
        <v>6</v>
      </c>
      <c r="J22">
        <v>4</v>
      </c>
      <c r="K22" s="2" t="str">
        <f t="shared" si="1"/>
        <v>1º Semestre</v>
      </c>
      <c r="L22" s="2" t="str">
        <f t="shared" si="2"/>
        <v>T1</v>
      </c>
      <c r="M22" s="2" t="str">
        <f t="shared" si="0"/>
        <v>fev</v>
      </c>
      <c r="N22" s="2">
        <v>2</v>
      </c>
    </row>
    <row r="23" spans="2:14" x14ac:dyDescent="0.3">
      <c r="B23">
        <v>22</v>
      </c>
      <c r="C23" t="s">
        <v>52</v>
      </c>
      <c r="D23" t="s">
        <v>10</v>
      </c>
      <c r="E23" t="s">
        <v>16</v>
      </c>
      <c r="F23" t="s">
        <v>24</v>
      </c>
      <c r="G23" t="s">
        <v>33</v>
      </c>
      <c r="H23">
        <v>103</v>
      </c>
      <c r="I23">
        <v>8</v>
      </c>
      <c r="J23">
        <v>1</v>
      </c>
      <c r="K23" s="2" t="str">
        <f t="shared" si="1"/>
        <v>1º Semestre</v>
      </c>
      <c r="L23" s="2" t="str">
        <f t="shared" si="2"/>
        <v>T1</v>
      </c>
      <c r="M23" s="2" t="str">
        <f t="shared" si="0"/>
        <v>fev</v>
      </c>
      <c r="N23" s="2">
        <v>2</v>
      </c>
    </row>
    <row r="24" spans="2:14" x14ac:dyDescent="0.3">
      <c r="B24">
        <v>23</v>
      </c>
      <c r="C24" t="s">
        <v>53</v>
      </c>
      <c r="D24" t="s">
        <v>11</v>
      </c>
      <c r="E24" t="s">
        <v>17</v>
      </c>
      <c r="F24" t="s">
        <v>25</v>
      </c>
      <c r="G24" t="s">
        <v>33</v>
      </c>
      <c r="H24">
        <v>42</v>
      </c>
      <c r="I24">
        <v>7</v>
      </c>
      <c r="J24">
        <v>5</v>
      </c>
      <c r="K24" s="2" t="str">
        <f t="shared" si="1"/>
        <v>1º Semestre</v>
      </c>
      <c r="L24" s="2" t="str">
        <f t="shared" si="2"/>
        <v>T1</v>
      </c>
      <c r="M24" s="2" t="str">
        <f t="shared" si="0"/>
        <v>fev</v>
      </c>
      <c r="N24" s="2">
        <v>2</v>
      </c>
    </row>
    <row r="25" spans="2:14" x14ac:dyDescent="0.3">
      <c r="B25">
        <v>24</v>
      </c>
      <c r="C25" t="s">
        <v>54</v>
      </c>
      <c r="D25" t="s">
        <v>12</v>
      </c>
      <c r="E25" t="s">
        <v>18</v>
      </c>
      <c r="F25" t="s">
        <v>26</v>
      </c>
      <c r="G25" t="s">
        <v>32</v>
      </c>
      <c r="H25">
        <v>29</v>
      </c>
      <c r="I25">
        <v>2</v>
      </c>
      <c r="J25">
        <v>2</v>
      </c>
      <c r="K25" s="2" t="str">
        <f t="shared" si="1"/>
        <v>1º Semestre</v>
      </c>
      <c r="L25" s="2" t="str">
        <f t="shared" si="2"/>
        <v>T1</v>
      </c>
      <c r="M25" s="2" t="str">
        <f t="shared" si="0"/>
        <v>fev</v>
      </c>
      <c r="N25" s="2">
        <v>2</v>
      </c>
    </row>
    <row r="26" spans="2:14" x14ac:dyDescent="0.3">
      <c r="B26">
        <v>25</v>
      </c>
      <c r="C26" t="s">
        <v>55</v>
      </c>
      <c r="D26" t="s">
        <v>9</v>
      </c>
      <c r="E26" t="s">
        <v>15</v>
      </c>
      <c r="F26" t="s">
        <v>23</v>
      </c>
      <c r="G26" t="s">
        <v>32</v>
      </c>
      <c r="H26">
        <v>123</v>
      </c>
      <c r="I26">
        <v>3</v>
      </c>
      <c r="J26">
        <v>2</v>
      </c>
      <c r="K26" s="2" t="str">
        <f t="shared" si="1"/>
        <v>1º Semestre</v>
      </c>
      <c r="L26" s="2" t="str">
        <f t="shared" si="2"/>
        <v>T1</v>
      </c>
      <c r="M26" s="2" t="str">
        <f t="shared" si="0"/>
        <v>fev</v>
      </c>
      <c r="N26" s="2">
        <v>2</v>
      </c>
    </row>
    <row r="27" spans="2:14" x14ac:dyDescent="0.3">
      <c r="B27">
        <v>26</v>
      </c>
      <c r="C27" t="s">
        <v>56</v>
      </c>
      <c r="D27" t="s">
        <v>13</v>
      </c>
      <c r="E27" t="s">
        <v>19</v>
      </c>
      <c r="F27" t="s">
        <v>28</v>
      </c>
      <c r="G27" t="s">
        <v>34</v>
      </c>
      <c r="H27">
        <v>30</v>
      </c>
      <c r="I27">
        <v>6</v>
      </c>
      <c r="J27">
        <v>2</v>
      </c>
      <c r="K27" s="2" t="str">
        <f t="shared" si="1"/>
        <v>1º Semestre</v>
      </c>
      <c r="L27" s="2" t="str">
        <f t="shared" si="2"/>
        <v>T1</v>
      </c>
      <c r="M27" s="2" t="str">
        <f t="shared" si="0"/>
        <v>fev</v>
      </c>
      <c r="N27" s="2">
        <v>2</v>
      </c>
    </row>
    <row r="28" spans="2:14" x14ac:dyDescent="0.3">
      <c r="B28">
        <v>27</v>
      </c>
      <c r="C28" t="s">
        <v>57</v>
      </c>
      <c r="D28" t="s">
        <v>10</v>
      </c>
      <c r="E28" t="s">
        <v>20</v>
      </c>
      <c r="F28" t="s">
        <v>29</v>
      </c>
      <c r="G28" t="s">
        <v>35</v>
      </c>
      <c r="H28">
        <v>103</v>
      </c>
      <c r="I28">
        <v>1</v>
      </c>
      <c r="J28">
        <v>1</v>
      </c>
      <c r="K28" s="2" t="str">
        <f t="shared" si="1"/>
        <v>1º Semestre</v>
      </c>
      <c r="L28" s="2" t="str">
        <f t="shared" si="2"/>
        <v>T1</v>
      </c>
      <c r="M28" s="2" t="str">
        <f t="shared" si="0"/>
        <v>fev</v>
      </c>
      <c r="N28" s="2">
        <v>2</v>
      </c>
    </row>
    <row r="29" spans="2:14" x14ac:dyDescent="0.3">
      <c r="B29">
        <v>28</v>
      </c>
      <c r="C29" t="s">
        <v>58</v>
      </c>
      <c r="D29" t="s">
        <v>9</v>
      </c>
      <c r="E29" t="s">
        <v>21</v>
      </c>
      <c r="F29" t="s">
        <v>30</v>
      </c>
      <c r="G29" t="s">
        <v>33</v>
      </c>
      <c r="H29">
        <v>102</v>
      </c>
      <c r="I29">
        <v>4</v>
      </c>
      <c r="J29">
        <v>3</v>
      </c>
      <c r="K29" s="2" t="str">
        <f t="shared" si="1"/>
        <v>1º Semestre</v>
      </c>
      <c r="L29" s="2" t="str">
        <f t="shared" si="2"/>
        <v>T1</v>
      </c>
      <c r="M29" s="2" t="str">
        <f t="shared" si="0"/>
        <v>fev</v>
      </c>
      <c r="N29" s="2">
        <v>2</v>
      </c>
    </row>
    <row r="30" spans="2:14" x14ac:dyDescent="0.3">
      <c r="B30">
        <v>29</v>
      </c>
      <c r="C30" t="s">
        <v>59</v>
      </c>
      <c r="D30" t="s">
        <v>12</v>
      </c>
      <c r="E30" t="s">
        <v>14</v>
      </c>
      <c r="F30" t="s">
        <v>27</v>
      </c>
      <c r="G30" t="s">
        <v>32</v>
      </c>
      <c r="H30">
        <v>28</v>
      </c>
      <c r="I30">
        <v>4</v>
      </c>
      <c r="J30">
        <v>2</v>
      </c>
      <c r="K30" s="2" t="str">
        <f t="shared" si="1"/>
        <v>1º Semestre</v>
      </c>
      <c r="L30" s="2" t="str">
        <f t="shared" si="2"/>
        <v>T1</v>
      </c>
      <c r="M30" s="2" t="str">
        <f t="shared" si="0"/>
        <v>fev</v>
      </c>
      <c r="N30" s="2">
        <v>2</v>
      </c>
    </row>
    <row r="31" spans="2:14" x14ac:dyDescent="0.3">
      <c r="B31">
        <v>30</v>
      </c>
      <c r="C31" t="s">
        <v>60</v>
      </c>
      <c r="D31" t="s">
        <v>11</v>
      </c>
      <c r="E31" t="s">
        <v>16</v>
      </c>
      <c r="F31" t="s">
        <v>36</v>
      </c>
      <c r="G31" t="s">
        <v>34</v>
      </c>
      <c r="H31">
        <v>41</v>
      </c>
      <c r="I31">
        <v>10</v>
      </c>
      <c r="J31">
        <v>1</v>
      </c>
      <c r="K31" s="2" t="str">
        <f t="shared" si="1"/>
        <v>1º Semestre</v>
      </c>
      <c r="L31" s="2" t="str">
        <f t="shared" si="2"/>
        <v>T1</v>
      </c>
      <c r="M31" s="2" t="str">
        <f t="shared" si="0"/>
        <v>fev</v>
      </c>
      <c r="N31" s="2">
        <v>2</v>
      </c>
    </row>
    <row r="32" spans="2:14" x14ac:dyDescent="0.3">
      <c r="B32">
        <v>31</v>
      </c>
      <c r="C32" t="s">
        <v>61</v>
      </c>
      <c r="D32" t="s">
        <v>9</v>
      </c>
      <c r="E32" t="s">
        <v>37</v>
      </c>
      <c r="F32" t="s">
        <v>38</v>
      </c>
      <c r="G32" t="s">
        <v>33</v>
      </c>
      <c r="H32">
        <v>130</v>
      </c>
      <c r="I32">
        <v>6</v>
      </c>
      <c r="J32">
        <v>4</v>
      </c>
      <c r="K32" s="2" t="str">
        <f t="shared" si="1"/>
        <v>1º Semestre</v>
      </c>
      <c r="L32" s="2" t="str">
        <f t="shared" si="2"/>
        <v>T1</v>
      </c>
      <c r="M32" s="2" t="str">
        <f t="shared" si="0"/>
        <v>fev</v>
      </c>
      <c r="N32" s="2">
        <v>2</v>
      </c>
    </row>
    <row r="33" spans="2:14" x14ac:dyDescent="0.3">
      <c r="B33">
        <v>32</v>
      </c>
      <c r="C33" t="s">
        <v>62</v>
      </c>
      <c r="D33" t="s">
        <v>10</v>
      </c>
      <c r="E33" t="s">
        <v>17</v>
      </c>
      <c r="F33" t="s">
        <v>39</v>
      </c>
      <c r="G33" t="s">
        <v>33</v>
      </c>
      <c r="H33">
        <v>105</v>
      </c>
      <c r="I33">
        <v>5</v>
      </c>
      <c r="J33">
        <v>3</v>
      </c>
      <c r="K33" s="2" t="str">
        <f t="shared" si="1"/>
        <v>1º Semestre</v>
      </c>
      <c r="L33" s="2" t="str">
        <f t="shared" si="2"/>
        <v>T1</v>
      </c>
      <c r="M33" s="2" t="str">
        <f t="shared" si="0"/>
        <v>fev</v>
      </c>
      <c r="N33" s="2">
        <v>2</v>
      </c>
    </row>
    <row r="34" spans="2:14" x14ac:dyDescent="0.3">
      <c r="B34">
        <v>33</v>
      </c>
      <c r="C34" t="s">
        <v>63</v>
      </c>
      <c r="D34" t="s">
        <v>13</v>
      </c>
      <c r="E34" t="s">
        <v>19</v>
      </c>
      <c r="F34" t="s">
        <v>28</v>
      </c>
      <c r="G34" t="s">
        <v>34</v>
      </c>
      <c r="H34">
        <v>30</v>
      </c>
      <c r="I34">
        <v>7</v>
      </c>
      <c r="J34">
        <v>3</v>
      </c>
      <c r="K34" s="2" t="str">
        <f t="shared" si="1"/>
        <v>1º Semestre</v>
      </c>
      <c r="L34" s="2" t="str">
        <f t="shared" si="2"/>
        <v>T1</v>
      </c>
      <c r="M34" s="2" t="str">
        <f t="shared" si="0"/>
        <v>fev</v>
      </c>
      <c r="N34" s="2">
        <v>2</v>
      </c>
    </row>
    <row r="35" spans="2:14" x14ac:dyDescent="0.3">
      <c r="B35">
        <v>34</v>
      </c>
      <c r="C35" t="s">
        <v>64</v>
      </c>
      <c r="D35" t="s">
        <v>9</v>
      </c>
      <c r="E35" t="s">
        <v>15</v>
      </c>
      <c r="F35" t="s">
        <v>40</v>
      </c>
      <c r="G35" t="s">
        <v>32</v>
      </c>
      <c r="H35">
        <v>115</v>
      </c>
      <c r="I35">
        <v>3</v>
      </c>
      <c r="J35">
        <v>2</v>
      </c>
      <c r="K35" s="2" t="str">
        <f t="shared" si="1"/>
        <v>1º Semestre</v>
      </c>
      <c r="L35" s="2" t="str">
        <f t="shared" si="2"/>
        <v>T1</v>
      </c>
      <c r="M35" s="2" t="str">
        <f t="shared" si="0"/>
        <v>fev</v>
      </c>
      <c r="N35" s="2">
        <v>2</v>
      </c>
    </row>
    <row r="36" spans="2:14" x14ac:dyDescent="0.3">
      <c r="B36">
        <v>35</v>
      </c>
      <c r="C36" t="s">
        <v>65</v>
      </c>
      <c r="D36" t="s">
        <v>12</v>
      </c>
      <c r="E36" t="s">
        <v>18</v>
      </c>
      <c r="F36" t="s">
        <v>31</v>
      </c>
      <c r="G36" t="s">
        <v>32</v>
      </c>
      <c r="H36">
        <v>30</v>
      </c>
      <c r="I36">
        <v>2</v>
      </c>
      <c r="J36">
        <v>2</v>
      </c>
      <c r="K36" s="2" t="str">
        <f t="shared" si="1"/>
        <v>1º Semestre</v>
      </c>
      <c r="L36" s="2" t="str">
        <f t="shared" si="2"/>
        <v>T1</v>
      </c>
      <c r="M36" s="2" t="str">
        <f t="shared" si="0"/>
        <v>fev</v>
      </c>
      <c r="N36" s="2">
        <v>2</v>
      </c>
    </row>
    <row r="37" spans="2:14" x14ac:dyDescent="0.3">
      <c r="B37">
        <v>36</v>
      </c>
      <c r="C37" t="s">
        <v>66</v>
      </c>
      <c r="D37" t="s">
        <v>10</v>
      </c>
      <c r="E37" t="s">
        <v>16</v>
      </c>
      <c r="F37" t="s">
        <v>24</v>
      </c>
      <c r="G37" t="s">
        <v>33</v>
      </c>
      <c r="H37">
        <v>102</v>
      </c>
      <c r="I37">
        <v>9</v>
      </c>
      <c r="J37">
        <v>2</v>
      </c>
      <c r="K37" s="2" t="str">
        <f t="shared" si="1"/>
        <v>1º Semestre</v>
      </c>
      <c r="L37" s="2" t="str">
        <f t="shared" si="2"/>
        <v>T1</v>
      </c>
      <c r="M37" s="2" t="str">
        <f t="shared" si="0"/>
        <v>fev</v>
      </c>
      <c r="N37" s="2">
        <v>2</v>
      </c>
    </row>
    <row r="38" spans="2:14" x14ac:dyDescent="0.3">
      <c r="B38">
        <v>37</v>
      </c>
      <c r="C38" t="s">
        <v>67</v>
      </c>
      <c r="D38" t="s">
        <v>9</v>
      </c>
      <c r="E38" t="s">
        <v>14</v>
      </c>
      <c r="F38" t="s">
        <v>22</v>
      </c>
      <c r="G38" t="s">
        <v>32</v>
      </c>
      <c r="H38">
        <v>107</v>
      </c>
      <c r="I38">
        <v>5</v>
      </c>
      <c r="J38">
        <v>3</v>
      </c>
      <c r="K38" s="2" t="str">
        <f t="shared" si="1"/>
        <v>1º Semestre</v>
      </c>
      <c r="L38" s="2" t="str">
        <f t="shared" si="2"/>
        <v>T1</v>
      </c>
      <c r="M38" s="2" t="str">
        <f t="shared" si="0"/>
        <v>mar</v>
      </c>
      <c r="N38" s="2">
        <v>3</v>
      </c>
    </row>
    <row r="39" spans="2:14" x14ac:dyDescent="0.3">
      <c r="B39">
        <v>38</v>
      </c>
      <c r="C39" t="s">
        <v>68</v>
      </c>
      <c r="D39" t="s">
        <v>10</v>
      </c>
      <c r="E39" t="s">
        <v>16</v>
      </c>
      <c r="F39" t="s">
        <v>24</v>
      </c>
      <c r="G39" t="s">
        <v>33</v>
      </c>
      <c r="H39">
        <v>102</v>
      </c>
      <c r="I39">
        <v>7</v>
      </c>
      <c r="J39">
        <v>1</v>
      </c>
      <c r="K39" s="2" t="str">
        <f t="shared" si="1"/>
        <v>1º Semestre</v>
      </c>
      <c r="L39" s="2" t="str">
        <f t="shared" si="2"/>
        <v>T1</v>
      </c>
      <c r="M39" s="2" t="str">
        <f t="shared" si="0"/>
        <v>mar</v>
      </c>
      <c r="N39" s="2">
        <v>3</v>
      </c>
    </row>
    <row r="40" spans="2:14" x14ac:dyDescent="0.3">
      <c r="B40">
        <v>39</v>
      </c>
      <c r="C40" t="s">
        <v>69</v>
      </c>
      <c r="D40" t="s">
        <v>11</v>
      </c>
      <c r="E40" t="s">
        <v>17</v>
      </c>
      <c r="F40" t="s">
        <v>25</v>
      </c>
      <c r="G40" t="s">
        <v>33</v>
      </c>
      <c r="H40">
        <v>42</v>
      </c>
      <c r="I40">
        <v>6</v>
      </c>
      <c r="J40">
        <v>4</v>
      </c>
      <c r="K40" s="2" t="str">
        <f t="shared" si="1"/>
        <v>1º Semestre</v>
      </c>
      <c r="L40" s="2" t="str">
        <f t="shared" si="2"/>
        <v>T1</v>
      </c>
      <c r="M40" s="2" t="str">
        <f t="shared" si="0"/>
        <v>mar</v>
      </c>
      <c r="N40" s="2">
        <v>3</v>
      </c>
    </row>
    <row r="41" spans="2:14" x14ac:dyDescent="0.3">
      <c r="B41">
        <v>40</v>
      </c>
      <c r="C41" t="s">
        <v>70</v>
      </c>
      <c r="D41" t="s">
        <v>12</v>
      </c>
      <c r="E41" t="s">
        <v>18</v>
      </c>
      <c r="F41" t="s">
        <v>26</v>
      </c>
      <c r="G41" t="s">
        <v>32</v>
      </c>
      <c r="H41">
        <v>30</v>
      </c>
      <c r="I41">
        <v>2</v>
      </c>
      <c r="J41">
        <v>2</v>
      </c>
      <c r="K41" s="2" t="str">
        <f t="shared" si="1"/>
        <v>1º Semestre</v>
      </c>
      <c r="L41" s="2" t="str">
        <f t="shared" si="2"/>
        <v>T1</v>
      </c>
      <c r="M41" s="2" t="str">
        <f t="shared" si="0"/>
        <v>mar</v>
      </c>
      <c r="N41" s="2">
        <v>3</v>
      </c>
    </row>
    <row r="42" spans="2:14" x14ac:dyDescent="0.3">
      <c r="B42">
        <v>41</v>
      </c>
      <c r="C42" t="s">
        <v>71</v>
      </c>
      <c r="D42" t="s">
        <v>9</v>
      </c>
      <c r="E42" t="s">
        <v>15</v>
      </c>
      <c r="F42" t="s">
        <v>23</v>
      </c>
      <c r="G42" t="s">
        <v>32</v>
      </c>
      <c r="H42">
        <v>119</v>
      </c>
      <c r="I42">
        <v>2</v>
      </c>
      <c r="J42">
        <v>1</v>
      </c>
      <c r="K42" s="2" t="str">
        <f t="shared" si="1"/>
        <v>1º Semestre</v>
      </c>
      <c r="L42" s="2" t="str">
        <f t="shared" si="2"/>
        <v>T1</v>
      </c>
      <c r="M42" s="2" t="str">
        <f t="shared" si="0"/>
        <v>mar</v>
      </c>
      <c r="N42" s="2">
        <v>3</v>
      </c>
    </row>
    <row r="43" spans="2:14" x14ac:dyDescent="0.3">
      <c r="B43">
        <v>42</v>
      </c>
      <c r="C43" t="s">
        <v>72</v>
      </c>
      <c r="D43" t="s">
        <v>13</v>
      </c>
      <c r="E43" t="s">
        <v>19</v>
      </c>
      <c r="F43" t="s">
        <v>28</v>
      </c>
      <c r="G43" t="s">
        <v>34</v>
      </c>
      <c r="H43">
        <v>30</v>
      </c>
      <c r="I43">
        <v>5</v>
      </c>
      <c r="J43">
        <v>1</v>
      </c>
      <c r="K43" s="2" t="str">
        <f t="shared" si="1"/>
        <v>1º Semestre</v>
      </c>
      <c r="L43" s="2" t="str">
        <f t="shared" si="2"/>
        <v>T1</v>
      </c>
      <c r="M43" s="2" t="str">
        <f t="shared" si="0"/>
        <v>mar</v>
      </c>
      <c r="N43" s="2">
        <v>3</v>
      </c>
    </row>
    <row r="44" spans="2:14" x14ac:dyDescent="0.3">
      <c r="B44">
        <v>43</v>
      </c>
      <c r="C44" t="s">
        <v>73</v>
      </c>
      <c r="D44" t="s">
        <v>9</v>
      </c>
      <c r="E44" t="s">
        <v>21</v>
      </c>
      <c r="F44" t="s">
        <v>30</v>
      </c>
      <c r="G44" t="s">
        <v>33</v>
      </c>
      <c r="H44">
        <v>115</v>
      </c>
      <c r="I44">
        <v>4</v>
      </c>
      <c r="J44">
        <v>3</v>
      </c>
      <c r="K44" s="2" t="str">
        <f t="shared" si="1"/>
        <v>1º Semestre</v>
      </c>
      <c r="L44" s="2" t="str">
        <f t="shared" si="2"/>
        <v>T1</v>
      </c>
      <c r="M44" s="2" t="str">
        <f t="shared" si="0"/>
        <v>mar</v>
      </c>
      <c r="N44" s="2">
        <v>3</v>
      </c>
    </row>
    <row r="45" spans="2:14" x14ac:dyDescent="0.3">
      <c r="B45">
        <v>44</v>
      </c>
      <c r="C45" t="s">
        <v>74</v>
      </c>
      <c r="D45" t="s">
        <v>12</v>
      </c>
      <c r="E45" t="s">
        <v>14</v>
      </c>
      <c r="F45" t="s">
        <v>27</v>
      </c>
      <c r="G45" t="s">
        <v>32</v>
      </c>
      <c r="H45">
        <v>30</v>
      </c>
      <c r="I45">
        <v>3</v>
      </c>
      <c r="J45">
        <v>2</v>
      </c>
      <c r="K45" s="2" t="str">
        <f t="shared" si="1"/>
        <v>1º Semestre</v>
      </c>
      <c r="L45" s="2" t="str">
        <f t="shared" si="2"/>
        <v>T1</v>
      </c>
      <c r="M45" s="2" t="str">
        <f t="shared" si="0"/>
        <v>mar</v>
      </c>
      <c r="N45" s="2">
        <v>3</v>
      </c>
    </row>
    <row r="46" spans="2:14" x14ac:dyDescent="0.3">
      <c r="B46">
        <v>45</v>
      </c>
      <c r="C46" t="s">
        <v>75</v>
      </c>
      <c r="D46" t="s">
        <v>11</v>
      </c>
      <c r="E46" t="s">
        <v>16</v>
      </c>
      <c r="F46" t="s">
        <v>36</v>
      </c>
      <c r="G46" t="s">
        <v>34</v>
      </c>
      <c r="H46">
        <v>41</v>
      </c>
      <c r="I46">
        <v>9</v>
      </c>
      <c r="J46">
        <v>1</v>
      </c>
      <c r="K46" s="2" t="str">
        <f t="shared" si="1"/>
        <v>1º Semestre</v>
      </c>
      <c r="L46" s="2" t="str">
        <f t="shared" si="2"/>
        <v>T1</v>
      </c>
      <c r="M46" s="2" t="str">
        <f t="shared" si="0"/>
        <v>mar</v>
      </c>
      <c r="N46" s="2">
        <v>3</v>
      </c>
    </row>
    <row r="47" spans="2:14" x14ac:dyDescent="0.3">
      <c r="B47">
        <v>46</v>
      </c>
      <c r="C47" t="s">
        <v>76</v>
      </c>
      <c r="D47" t="s">
        <v>9</v>
      </c>
      <c r="E47" t="s">
        <v>37</v>
      </c>
      <c r="F47" t="s">
        <v>38</v>
      </c>
      <c r="G47" t="s">
        <v>33</v>
      </c>
      <c r="H47">
        <v>113</v>
      </c>
      <c r="I47">
        <v>5</v>
      </c>
      <c r="J47">
        <v>3</v>
      </c>
      <c r="K47" s="2" t="str">
        <f t="shared" si="1"/>
        <v>1º Semestre</v>
      </c>
      <c r="L47" s="2" t="str">
        <f t="shared" si="2"/>
        <v>T1</v>
      </c>
      <c r="M47" s="2" t="str">
        <f t="shared" si="0"/>
        <v>mar</v>
      </c>
      <c r="N47" s="2">
        <v>3</v>
      </c>
    </row>
    <row r="48" spans="2:14" x14ac:dyDescent="0.3">
      <c r="B48">
        <v>47</v>
      </c>
      <c r="C48" t="s">
        <v>77</v>
      </c>
      <c r="D48" t="s">
        <v>10</v>
      </c>
      <c r="E48" t="s">
        <v>17</v>
      </c>
      <c r="F48" t="s">
        <v>39</v>
      </c>
      <c r="G48" t="s">
        <v>33</v>
      </c>
      <c r="H48">
        <v>100</v>
      </c>
      <c r="I48">
        <v>5</v>
      </c>
      <c r="J48">
        <v>3</v>
      </c>
      <c r="K48" s="2" t="str">
        <f t="shared" si="1"/>
        <v>1º Semestre</v>
      </c>
      <c r="L48" s="2" t="str">
        <f t="shared" si="2"/>
        <v>T1</v>
      </c>
      <c r="M48" s="2" t="str">
        <f t="shared" si="0"/>
        <v>mar</v>
      </c>
      <c r="N48" s="2">
        <v>3</v>
      </c>
    </row>
    <row r="49" spans="2:14" x14ac:dyDescent="0.3">
      <c r="B49">
        <v>48</v>
      </c>
      <c r="C49" t="s">
        <v>78</v>
      </c>
      <c r="D49" t="s">
        <v>13</v>
      </c>
      <c r="E49" t="s">
        <v>19</v>
      </c>
      <c r="F49" t="s">
        <v>28</v>
      </c>
      <c r="G49" t="s">
        <v>34</v>
      </c>
      <c r="H49">
        <v>30</v>
      </c>
      <c r="I49">
        <v>6</v>
      </c>
      <c r="J49">
        <v>2</v>
      </c>
      <c r="K49" s="2" t="str">
        <f t="shared" si="1"/>
        <v>1º Semestre</v>
      </c>
      <c r="L49" s="2" t="str">
        <f t="shared" si="2"/>
        <v>T1</v>
      </c>
      <c r="M49" s="2" t="str">
        <f t="shared" si="0"/>
        <v>mar</v>
      </c>
      <c r="N49" s="2">
        <v>3</v>
      </c>
    </row>
    <row r="50" spans="2:14" x14ac:dyDescent="0.3">
      <c r="B50">
        <v>49</v>
      </c>
      <c r="C50" t="s">
        <v>79</v>
      </c>
      <c r="D50" t="s">
        <v>9</v>
      </c>
      <c r="E50" t="s">
        <v>15</v>
      </c>
      <c r="F50" t="s">
        <v>40</v>
      </c>
      <c r="G50" t="s">
        <v>32</v>
      </c>
      <c r="H50">
        <v>127</v>
      </c>
      <c r="I50">
        <v>2</v>
      </c>
      <c r="J50">
        <v>2</v>
      </c>
      <c r="K50" s="2" t="str">
        <f t="shared" si="1"/>
        <v>1º Semestre</v>
      </c>
      <c r="L50" s="2" t="str">
        <f t="shared" si="2"/>
        <v>T1</v>
      </c>
      <c r="M50" s="2" t="str">
        <f t="shared" si="0"/>
        <v>mar</v>
      </c>
      <c r="N50" s="2">
        <v>3</v>
      </c>
    </row>
    <row r="51" spans="2:14" x14ac:dyDescent="0.3">
      <c r="B51">
        <v>50</v>
      </c>
      <c r="C51" t="s">
        <v>80</v>
      </c>
      <c r="D51" t="s">
        <v>12</v>
      </c>
      <c r="E51" t="s">
        <v>18</v>
      </c>
      <c r="F51" t="s">
        <v>31</v>
      </c>
      <c r="G51" t="s">
        <v>32</v>
      </c>
      <c r="H51">
        <v>30</v>
      </c>
      <c r="I51">
        <v>2</v>
      </c>
      <c r="J51">
        <v>1</v>
      </c>
      <c r="K51" s="2" t="str">
        <f t="shared" si="1"/>
        <v>1º Semestre</v>
      </c>
      <c r="L51" s="2" t="str">
        <f t="shared" si="2"/>
        <v>T1</v>
      </c>
      <c r="M51" s="2" t="str">
        <f t="shared" si="0"/>
        <v>mar</v>
      </c>
      <c r="N51" s="2">
        <v>3</v>
      </c>
    </row>
    <row r="52" spans="2:14" x14ac:dyDescent="0.3">
      <c r="B52">
        <v>51</v>
      </c>
      <c r="C52" t="s">
        <v>81</v>
      </c>
      <c r="D52" t="s">
        <v>10</v>
      </c>
      <c r="E52" t="s">
        <v>16</v>
      </c>
      <c r="F52" t="s">
        <v>24</v>
      </c>
      <c r="G52" t="s">
        <v>33</v>
      </c>
      <c r="H52">
        <v>96</v>
      </c>
      <c r="I52">
        <v>7</v>
      </c>
      <c r="J52">
        <v>1</v>
      </c>
      <c r="K52" s="2" t="str">
        <f t="shared" si="1"/>
        <v>1º Semestre</v>
      </c>
      <c r="L52" s="2" t="str">
        <f t="shared" si="2"/>
        <v>T1</v>
      </c>
      <c r="M52" s="2" t="str">
        <f t="shared" si="0"/>
        <v>mar</v>
      </c>
      <c r="N52" s="2">
        <v>3</v>
      </c>
    </row>
    <row r="53" spans="2:14" x14ac:dyDescent="0.3">
      <c r="B53">
        <v>52</v>
      </c>
      <c r="C53" t="s">
        <v>82</v>
      </c>
      <c r="D53" t="s">
        <v>9</v>
      </c>
      <c r="E53" t="s">
        <v>14</v>
      </c>
      <c r="F53" t="s">
        <v>22</v>
      </c>
      <c r="G53" t="s">
        <v>32</v>
      </c>
      <c r="H53">
        <v>105</v>
      </c>
      <c r="I53">
        <v>4</v>
      </c>
      <c r="J53">
        <v>2</v>
      </c>
      <c r="K53" s="2" t="str">
        <f t="shared" si="1"/>
        <v>1º Semestre</v>
      </c>
      <c r="L53" s="2" t="str">
        <f t="shared" si="2"/>
        <v>T1</v>
      </c>
      <c r="M53" s="2" t="str">
        <f t="shared" si="0"/>
        <v>mar</v>
      </c>
      <c r="N53" s="2">
        <v>3</v>
      </c>
    </row>
    <row r="54" spans="2:14" x14ac:dyDescent="0.3">
      <c r="B54">
        <v>53</v>
      </c>
      <c r="C54" t="s">
        <v>83</v>
      </c>
      <c r="D54" t="s">
        <v>11</v>
      </c>
      <c r="E54" t="s">
        <v>17</v>
      </c>
      <c r="F54" t="s">
        <v>25</v>
      </c>
      <c r="G54" t="s">
        <v>33</v>
      </c>
      <c r="H54">
        <v>42</v>
      </c>
      <c r="I54">
        <v>5</v>
      </c>
      <c r="J54">
        <v>3</v>
      </c>
      <c r="K54" s="2" t="str">
        <f t="shared" si="1"/>
        <v>1º Semestre</v>
      </c>
      <c r="L54" s="2" t="str">
        <f t="shared" si="2"/>
        <v>T1</v>
      </c>
      <c r="M54" s="2" t="str">
        <f t="shared" si="0"/>
        <v>mar</v>
      </c>
      <c r="N54" s="2">
        <v>3</v>
      </c>
    </row>
    <row r="55" spans="2:14" x14ac:dyDescent="0.3">
      <c r="B55">
        <v>54</v>
      </c>
      <c r="C55" t="s">
        <v>84</v>
      </c>
      <c r="D55" t="s">
        <v>9</v>
      </c>
      <c r="E55" t="s">
        <v>20</v>
      </c>
      <c r="F55" t="s">
        <v>29</v>
      </c>
      <c r="G55" t="s">
        <v>35</v>
      </c>
      <c r="H55">
        <v>121</v>
      </c>
      <c r="I55">
        <v>1</v>
      </c>
      <c r="J55">
        <v>1</v>
      </c>
      <c r="K55" s="2" t="str">
        <f t="shared" si="1"/>
        <v>1º Semestre</v>
      </c>
      <c r="L55" s="2" t="str">
        <f t="shared" si="2"/>
        <v>T1</v>
      </c>
      <c r="M55" s="2" t="str">
        <f t="shared" si="0"/>
        <v>mar</v>
      </c>
      <c r="N55" s="2">
        <v>3</v>
      </c>
    </row>
    <row r="56" spans="2:14" x14ac:dyDescent="0.3">
      <c r="B56">
        <v>55</v>
      </c>
      <c r="C56" t="s">
        <v>85</v>
      </c>
      <c r="D56" t="s">
        <v>12</v>
      </c>
      <c r="E56" t="s">
        <v>14</v>
      </c>
      <c r="F56" t="s">
        <v>27</v>
      </c>
      <c r="G56" t="s">
        <v>32</v>
      </c>
      <c r="H56">
        <v>26</v>
      </c>
      <c r="I56">
        <v>3</v>
      </c>
      <c r="J56">
        <v>2</v>
      </c>
      <c r="K56" s="2" t="str">
        <f t="shared" si="1"/>
        <v>1º Semestre</v>
      </c>
      <c r="L56" s="2" t="str">
        <f t="shared" si="2"/>
        <v>T1</v>
      </c>
      <c r="M56" s="2" t="str">
        <f t="shared" si="0"/>
        <v>mar</v>
      </c>
      <c r="N56" s="2">
        <v>3</v>
      </c>
    </row>
    <row r="57" spans="2:14" x14ac:dyDescent="0.3">
      <c r="B57">
        <v>56</v>
      </c>
      <c r="C57" t="s">
        <v>85</v>
      </c>
      <c r="D57" t="s">
        <v>9</v>
      </c>
      <c r="E57" t="s">
        <v>16</v>
      </c>
      <c r="F57" t="s">
        <v>24</v>
      </c>
      <c r="G57" t="s">
        <v>33</v>
      </c>
      <c r="H57">
        <v>109</v>
      </c>
      <c r="I57">
        <v>6</v>
      </c>
      <c r="J57">
        <v>1</v>
      </c>
      <c r="K57" s="2" t="str">
        <f t="shared" si="1"/>
        <v>1º Semestre</v>
      </c>
      <c r="L57" s="2" t="str">
        <f t="shared" si="2"/>
        <v>T1</v>
      </c>
      <c r="M57" s="2" t="str">
        <f t="shared" si="0"/>
        <v>mar</v>
      </c>
      <c r="N57" s="2">
        <v>3</v>
      </c>
    </row>
    <row r="58" spans="2:14" x14ac:dyDescent="0.3">
      <c r="B58">
        <v>57</v>
      </c>
      <c r="C58" t="s">
        <v>86</v>
      </c>
      <c r="D58" t="s">
        <v>13</v>
      </c>
      <c r="E58" t="s">
        <v>19</v>
      </c>
      <c r="F58" t="s">
        <v>28</v>
      </c>
      <c r="G58" t="s">
        <v>34</v>
      </c>
      <c r="H58">
        <v>30</v>
      </c>
      <c r="I58">
        <v>5</v>
      </c>
      <c r="J58">
        <v>3</v>
      </c>
      <c r="K58" s="2" t="str">
        <f t="shared" si="1"/>
        <v>1º Semestre</v>
      </c>
      <c r="L58" s="2" t="str">
        <f t="shared" si="2"/>
        <v>T1</v>
      </c>
      <c r="M58" s="2" t="str">
        <f t="shared" si="0"/>
        <v>mar</v>
      </c>
      <c r="N58" s="2">
        <v>3</v>
      </c>
    </row>
    <row r="59" spans="2:14" x14ac:dyDescent="0.3">
      <c r="B59">
        <v>58</v>
      </c>
      <c r="C59" t="s">
        <v>87</v>
      </c>
      <c r="D59" t="s">
        <v>10</v>
      </c>
      <c r="E59" t="s">
        <v>21</v>
      </c>
      <c r="F59" t="s">
        <v>30</v>
      </c>
      <c r="G59" t="s">
        <v>33</v>
      </c>
      <c r="H59">
        <v>94</v>
      </c>
      <c r="I59">
        <v>3</v>
      </c>
      <c r="J59">
        <v>2</v>
      </c>
      <c r="K59" s="2" t="str">
        <f t="shared" si="1"/>
        <v>1º Semestre</v>
      </c>
      <c r="L59" s="2" t="str">
        <f t="shared" si="2"/>
        <v>T1</v>
      </c>
      <c r="M59" s="2" t="str">
        <f t="shared" si="0"/>
        <v>mar</v>
      </c>
      <c r="N59" s="2">
        <v>3</v>
      </c>
    </row>
    <row r="60" spans="2:14" x14ac:dyDescent="0.3">
      <c r="B60">
        <v>59</v>
      </c>
      <c r="C60" t="s">
        <v>88</v>
      </c>
      <c r="D60" t="s">
        <v>9</v>
      </c>
      <c r="E60" t="s">
        <v>37</v>
      </c>
      <c r="F60" t="s">
        <v>38</v>
      </c>
      <c r="G60" t="s">
        <v>33</v>
      </c>
      <c r="H60">
        <v>130</v>
      </c>
      <c r="I60">
        <v>4</v>
      </c>
      <c r="J60">
        <v>3</v>
      </c>
      <c r="K60" s="2" t="str">
        <f t="shared" si="1"/>
        <v>1º Semestre</v>
      </c>
      <c r="L60" s="2" t="str">
        <f t="shared" si="2"/>
        <v>T1</v>
      </c>
      <c r="M60" s="2" t="str">
        <f t="shared" si="0"/>
        <v>mar</v>
      </c>
      <c r="N60" s="2">
        <v>3</v>
      </c>
    </row>
    <row r="61" spans="2:14" x14ac:dyDescent="0.3">
      <c r="B61">
        <v>60</v>
      </c>
      <c r="C61" t="s">
        <v>88</v>
      </c>
      <c r="D61" t="s">
        <v>11</v>
      </c>
      <c r="E61" t="s">
        <v>16</v>
      </c>
      <c r="F61" t="s">
        <v>36</v>
      </c>
      <c r="G61" t="s">
        <v>34</v>
      </c>
      <c r="H61">
        <v>42</v>
      </c>
      <c r="I61">
        <v>8</v>
      </c>
      <c r="J61">
        <v>1</v>
      </c>
      <c r="K61" s="2" t="str">
        <f t="shared" si="1"/>
        <v>1º Semestre</v>
      </c>
      <c r="L61" s="2" t="str">
        <f t="shared" si="2"/>
        <v>T1</v>
      </c>
      <c r="M61" s="2" t="str">
        <f t="shared" si="0"/>
        <v>mar</v>
      </c>
      <c r="N61" s="2">
        <v>3</v>
      </c>
    </row>
    <row r="62" spans="2:14" x14ac:dyDescent="0.3">
      <c r="B62" s="2">
        <v>61</v>
      </c>
      <c r="C62" s="4">
        <v>45749</v>
      </c>
      <c r="D62" s="3" t="s">
        <v>9</v>
      </c>
      <c r="E62" s="3" t="s">
        <v>14</v>
      </c>
      <c r="F62" s="3" t="s">
        <v>22</v>
      </c>
      <c r="G62" s="3" t="s">
        <v>32</v>
      </c>
      <c r="H62" s="2">
        <v>115</v>
      </c>
      <c r="I62" s="2">
        <v>4</v>
      </c>
      <c r="J62" s="2">
        <v>2</v>
      </c>
      <c r="K62" s="2" t="str">
        <f t="shared" si="1"/>
        <v>1º Semestre</v>
      </c>
      <c r="L62" s="2" t="str">
        <f t="shared" si="2"/>
        <v>T2</v>
      </c>
      <c r="M62" s="2" t="str">
        <f t="shared" si="0"/>
        <v>abr</v>
      </c>
      <c r="N62" s="2">
        <v>4</v>
      </c>
    </row>
    <row r="63" spans="2:14" x14ac:dyDescent="0.3">
      <c r="B63" s="2">
        <v>62</v>
      </c>
      <c r="C63" s="4">
        <v>45750</v>
      </c>
      <c r="D63" s="3" t="s">
        <v>10</v>
      </c>
      <c r="E63" s="3" t="s">
        <v>16</v>
      </c>
      <c r="F63" s="3" t="s">
        <v>24</v>
      </c>
      <c r="G63" s="3" t="s">
        <v>33</v>
      </c>
      <c r="H63" s="2">
        <v>96</v>
      </c>
      <c r="I63" s="2">
        <v>7</v>
      </c>
      <c r="J63" s="2">
        <v>1</v>
      </c>
      <c r="K63" s="2" t="str">
        <f t="shared" si="1"/>
        <v>1º Semestre</v>
      </c>
      <c r="L63" s="2" t="str">
        <f t="shared" si="2"/>
        <v>T2</v>
      </c>
      <c r="M63" s="2" t="str">
        <f t="shared" si="0"/>
        <v>abr</v>
      </c>
      <c r="N63" s="2">
        <v>4</v>
      </c>
    </row>
    <row r="64" spans="2:14" x14ac:dyDescent="0.3">
      <c r="B64" s="2">
        <v>63</v>
      </c>
      <c r="C64" s="4">
        <v>45751</v>
      </c>
      <c r="D64" s="3" t="s">
        <v>11</v>
      </c>
      <c r="E64" s="3" t="s">
        <v>17</v>
      </c>
      <c r="F64" s="3" t="s">
        <v>25</v>
      </c>
      <c r="G64" s="3" t="s">
        <v>33</v>
      </c>
      <c r="H64" s="2">
        <v>42</v>
      </c>
      <c r="I64" s="2">
        <v>5</v>
      </c>
      <c r="J64" s="2">
        <v>3</v>
      </c>
      <c r="K64" s="2" t="str">
        <f t="shared" si="1"/>
        <v>1º Semestre</v>
      </c>
      <c r="L64" s="2" t="str">
        <f t="shared" si="2"/>
        <v>T2</v>
      </c>
      <c r="M64" s="2" t="str">
        <f t="shared" si="0"/>
        <v>abr</v>
      </c>
      <c r="N64" s="2">
        <v>4</v>
      </c>
    </row>
    <row r="65" spans="2:14" x14ac:dyDescent="0.3">
      <c r="B65" s="2">
        <v>64</v>
      </c>
      <c r="C65" s="4">
        <v>45754</v>
      </c>
      <c r="D65" s="3" t="s">
        <v>12</v>
      </c>
      <c r="E65" s="3" t="s">
        <v>18</v>
      </c>
      <c r="F65" s="3" t="s">
        <v>26</v>
      </c>
      <c r="G65" s="3" t="s">
        <v>32</v>
      </c>
      <c r="H65" s="2">
        <v>26</v>
      </c>
      <c r="I65" s="2">
        <v>2</v>
      </c>
      <c r="J65" s="2">
        <v>1</v>
      </c>
      <c r="K65" s="2" t="str">
        <f t="shared" si="1"/>
        <v>1º Semestre</v>
      </c>
      <c r="L65" s="2" t="str">
        <f t="shared" si="2"/>
        <v>T2</v>
      </c>
      <c r="M65" s="2" t="str">
        <f t="shared" si="0"/>
        <v>abr</v>
      </c>
      <c r="N65" s="2">
        <v>4</v>
      </c>
    </row>
    <row r="66" spans="2:14" x14ac:dyDescent="0.3">
      <c r="B66" s="2">
        <v>65</v>
      </c>
      <c r="C66" s="4">
        <v>45755</v>
      </c>
      <c r="D66" s="3" t="s">
        <v>9</v>
      </c>
      <c r="E66" s="3" t="s">
        <v>15</v>
      </c>
      <c r="F66" s="3" t="s">
        <v>23</v>
      </c>
      <c r="G66" s="3" t="s">
        <v>32</v>
      </c>
      <c r="H66" s="2">
        <v>123</v>
      </c>
      <c r="I66" s="2">
        <v>2</v>
      </c>
      <c r="J66" s="2">
        <v>1</v>
      </c>
      <c r="K66" s="2" t="str">
        <f t="shared" si="1"/>
        <v>1º Semestre</v>
      </c>
      <c r="L66" s="2" t="str">
        <f t="shared" si="2"/>
        <v>T2</v>
      </c>
      <c r="M66" s="2" t="str">
        <f t="shared" ref="M66:M129" si="3">TEXT(C66,"MMM")</f>
        <v>abr</v>
      </c>
      <c r="N66" s="2">
        <v>4</v>
      </c>
    </row>
    <row r="67" spans="2:14" x14ac:dyDescent="0.3">
      <c r="B67" s="2">
        <v>66</v>
      </c>
      <c r="C67" s="4">
        <v>45756</v>
      </c>
      <c r="D67" s="3" t="s">
        <v>13</v>
      </c>
      <c r="E67" s="3" t="s">
        <v>19</v>
      </c>
      <c r="F67" s="3" t="s">
        <v>28</v>
      </c>
      <c r="G67" s="3" t="s">
        <v>34</v>
      </c>
      <c r="H67" s="2">
        <v>30</v>
      </c>
      <c r="I67" s="2">
        <v>5</v>
      </c>
      <c r="J67" s="2">
        <v>1</v>
      </c>
      <c r="K67" s="2" t="str">
        <f t="shared" ref="K67:K130" si="4">IF(MONTH(M67 &amp; " 1")&lt;=6, "1º Semestre", "2º Semestre")</f>
        <v>1º Semestre</v>
      </c>
      <c r="L67" s="2" t="str">
        <f t="shared" ref="L67:L130" si="5">"T"&amp;ROUNDUP(VALUE(N67)/3,0)</f>
        <v>T2</v>
      </c>
      <c r="M67" s="2" t="str">
        <f t="shared" si="3"/>
        <v>abr</v>
      </c>
      <c r="N67" s="2">
        <v>4</v>
      </c>
    </row>
    <row r="68" spans="2:14" x14ac:dyDescent="0.3">
      <c r="B68" s="2">
        <v>67</v>
      </c>
      <c r="C68" s="4">
        <v>45757</v>
      </c>
      <c r="D68" s="3" t="s">
        <v>9</v>
      </c>
      <c r="E68" s="3" t="s">
        <v>21</v>
      </c>
      <c r="F68" s="3" t="s">
        <v>30</v>
      </c>
      <c r="G68" s="3" t="s">
        <v>33</v>
      </c>
      <c r="H68" s="2">
        <v>102</v>
      </c>
      <c r="I68" s="2">
        <v>3</v>
      </c>
      <c r="J68" s="2">
        <v>2</v>
      </c>
      <c r="K68" s="2" t="str">
        <f t="shared" si="4"/>
        <v>1º Semestre</v>
      </c>
      <c r="L68" s="2" t="str">
        <f t="shared" si="5"/>
        <v>T2</v>
      </c>
      <c r="M68" s="2" t="str">
        <f t="shared" si="3"/>
        <v>abr</v>
      </c>
      <c r="N68" s="2">
        <v>4</v>
      </c>
    </row>
    <row r="69" spans="2:14" x14ac:dyDescent="0.3">
      <c r="B69" s="2">
        <v>68</v>
      </c>
      <c r="C69" s="4">
        <v>45758</v>
      </c>
      <c r="D69" s="3" t="s">
        <v>12</v>
      </c>
      <c r="E69" s="3" t="s">
        <v>14</v>
      </c>
      <c r="F69" s="3" t="s">
        <v>27</v>
      </c>
      <c r="G69" s="3" t="s">
        <v>32</v>
      </c>
      <c r="H69" s="2">
        <v>26</v>
      </c>
      <c r="I69" s="2">
        <v>3</v>
      </c>
      <c r="J69" s="2">
        <v>1</v>
      </c>
      <c r="K69" s="2" t="str">
        <f t="shared" si="4"/>
        <v>1º Semestre</v>
      </c>
      <c r="L69" s="2" t="str">
        <f t="shared" si="5"/>
        <v>T2</v>
      </c>
      <c r="M69" s="2" t="str">
        <f t="shared" si="3"/>
        <v>abr</v>
      </c>
      <c r="N69" s="2">
        <v>4</v>
      </c>
    </row>
    <row r="70" spans="2:14" x14ac:dyDescent="0.3">
      <c r="B70" s="2">
        <v>69</v>
      </c>
      <c r="C70" s="4">
        <v>45761</v>
      </c>
      <c r="D70" s="3" t="s">
        <v>11</v>
      </c>
      <c r="E70" s="3" t="s">
        <v>16</v>
      </c>
      <c r="F70" s="3" t="s">
        <v>36</v>
      </c>
      <c r="G70" s="3" t="s">
        <v>34</v>
      </c>
      <c r="H70" s="2">
        <v>40</v>
      </c>
      <c r="I70" s="2">
        <v>8</v>
      </c>
      <c r="J70" s="2">
        <v>1</v>
      </c>
      <c r="K70" s="2" t="str">
        <f t="shared" si="4"/>
        <v>1º Semestre</v>
      </c>
      <c r="L70" s="2" t="str">
        <f t="shared" si="5"/>
        <v>T2</v>
      </c>
      <c r="M70" s="2" t="str">
        <f t="shared" si="3"/>
        <v>abr</v>
      </c>
      <c r="N70" s="2">
        <v>4</v>
      </c>
    </row>
    <row r="71" spans="2:14" x14ac:dyDescent="0.3">
      <c r="B71" s="2">
        <v>70</v>
      </c>
      <c r="C71" s="4">
        <v>45762</v>
      </c>
      <c r="D71" s="3" t="s">
        <v>9</v>
      </c>
      <c r="E71" s="3" t="s">
        <v>37</v>
      </c>
      <c r="F71" s="3" t="s">
        <v>38</v>
      </c>
      <c r="G71" s="3" t="s">
        <v>33</v>
      </c>
      <c r="H71" s="2">
        <v>117</v>
      </c>
      <c r="I71" s="2">
        <v>4</v>
      </c>
      <c r="J71" s="2">
        <v>3</v>
      </c>
      <c r="K71" s="2" t="str">
        <f t="shared" si="4"/>
        <v>1º Semestre</v>
      </c>
      <c r="L71" s="2" t="str">
        <f t="shared" si="5"/>
        <v>T2</v>
      </c>
      <c r="M71" s="2" t="str">
        <f t="shared" si="3"/>
        <v>abr</v>
      </c>
      <c r="N71" s="2">
        <v>4</v>
      </c>
    </row>
    <row r="72" spans="2:14" x14ac:dyDescent="0.3">
      <c r="B72" s="2">
        <v>71</v>
      </c>
      <c r="C72" s="4">
        <v>45763</v>
      </c>
      <c r="D72" s="3" t="s">
        <v>10</v>
      </c>
      <c r="E72" s="3" t="s">
        <v>17</v>
      </c>
      <c r="F72" s="3" t="s">
        <v>39</v>
      </c>
      <c r="G72" s="3" t="s">
        <v>33</v>
      </c>
      <c r="H72" s="2">
        <v>93</v>
      </c>
      <c r="I72" s="2">
        <v>4</v>
      </c>
      <c r="J72" s="2">
        <v>2</v>
      </c>
      <c r="K72" s="2" t="str">
        <f t="shared" si="4"/>
        <v>1º Semestre</v>
      </c>
      <c r="L72" s="2" t="str">
        <f t="shared" si="5"/>
        <v>T2</v>
      </c>
      <c r="M72" s="2" t="str">
        <f t="shared" si="3"/>
        <v>abr</v>
      </c>
      <c r="N72" s="2">
        <v>4</v>
      </c>
    </row>
    <row r="73" spans="2:14" x14ac:dyDescent="0.3">
      <c r="B73" s="2">
        <v>72</v>
      </c>
      <c r="C73" s="4">
        <v>45764</v>
      </c>
      <c r="D73" s="3" t="s">
        <v>13</v>
      </c>
      <c r="E73" s="3" t="s">
        <v>19</v>
      </c>
      <c r="F73" s="3" t="s">
        <v>28</v>
      </c>
      <c r="G73" s="3" t="s">
        <v>34</v>
      </c>
      <c r="H73" s="2">
        <v>25</v>
      </c>
      <c r="I73" s="2">
        <v>5</v>
      </c>
      <c r="J73" s="2">
        <v>4</v>
      </c>
      <c r="K73" s="2" t="str">
        <f t="shared" si="4"/>
        <v>1º Semestre</v>
      </c>
      <c r="L73" s="2" t="str">
        <f t="shared" si="5"/>
        <v>T2</v>
      </c>
      <c r="M73" s="2" t="str">
        <f t="shared" si="3"/>
        <v>abr</v>
      </c>
      <c r="N73" s="2">
        <v>4</v>
      </c>
    </row>
    <row r="74" spans="2:14" x14ac:dyDescent="0.3">
      <c r="B74" s="2">
        <v>73</v>
      </c>
      <c r="C74" s="4">
        <v>45769</v>
      </c>
      <c r="D74" s="3" t="s">
        <v>9</v>
      </c>
      <c r="E74" s="3" t="s">
        <v>15</v>
      </c>
      <c r="F74" s="3" t="s">
        <v>40</v>
      </c>
      <c r="G74" s="3" t="s">
        <v>32</v>
      </c>
      <c r="H74" s="2">
        <v>126</v>
      </c>
      <c r="I74" s="2">
        <v>2</v>
      </c>
      <c r="J74" s="2">
        <v>1</v>
      </c>
      <c r="K74" s="2" t="str">
        <f t="shared" si="4"/>
        <v>1º Semestre</v>
      </c>
      <c r="L74" s="2" t="str">
        <f t="shared" si="5"/>
        <v>T2</v>
      </c>
      <c r="M74" s="2" t="str">
        <f t="shared" si="3"/>
        <v>abr</v>
      </c>
      <c r="N74" s="2">
        <v>4</v>
      </c>
    </row>
    <row r="75" spans="2:14" x14ac:dyDescent="0.3">
      <c r="B75" s="2">
        <v>74</v>
      </c>
      <c r="C75" s="4">
        <v>45770</v>
      </c>
      <c r="D75" s="3" t="s">
        <v>12</v>
      </c>
      <c r="E75" s="3" t="s">
        <v>18</v>
      </c>
      <c r="F75" s="3" t="s">
        <v>31</v>
      </c>
      <c r="G75" s="3" t="s">
        <v>32</v>
      </c>
      <c r="H75" s="2">
        <v>26</v>
      </c>
      <c r="I75" s="2">
        <v>2</v>
      </c>
      <c r="J75" s="2">
        <v>1</v>
      </c>
      <c r="K75" s="2" t="str">
        <f t="shared" si="4"/>
        <v>1º Semestre</v>
      </c>
      <c r="L75" s="2" t="str">
        <f t="shared" si="5"/>
        <v>T2</v>
      </c>
      <c r="M75" s="2" t="str">
        <f t="shared" si="3"/>
        <v>abr</v>
      </c>
      <c r="N75" s="2">
        <v>4</v>
      </c>
    </row>
    <row r="76" spans="2:14" x14ac:dyDescent="0.3">
      <c r="B76" s="2">
        <v>75</v>
      </c>
      <c r="C76" s="4">
        <v>45771</v>
      </c>
      <c r="D76" s="3" t="s">
        <v>10</v>
      </c>
      <c r="E76" s="3" t="s">
        <v>16</v>
      </c>
      <c r="F76" s="3" t="s">
        <v>24</v>
      </c>
      <c r="G76" s="3" t="s">
        <v>33</v>
      </c>
      <c r="H76" s="2">
        <v>78</v>
      </c>
      <c r="I76" s="2">
        <v>6</v>
      </c>
      <c r="J76" s="2">
        <v>1</v>
      </c>
      <c r="K76" s="2" t="str">
        <f t="shared" si="4"/>
        <v>1º Semestre</v>
      </c>
      <c r="L76" s="2" t="str">
        <f t="shared" si="5"/>
        <v>T2</v>
      </c>
      <c r="M76" s="2" t="str">
        <f t="shared" si="3"/>
        <v>abr</v>
      </c>
      <c r="N76" s="2">
        <v>4</v>
      </c>
    </row>
    <row r="77" spans="2:14" x14ac:dyDescent="0.3">
      <c r="B77" s="2">
        <v>76</v>
      </c>
      <c r="C77" s="4">
        <v>45772</v>
      </c>
      <c r="D77" s="3" t="s">
        <v>9</v>
      </c>
      <c r="E77" s="3" t="s">
        <v>14</v>
      </c>
      <c r="F77" s="3" t="s">
        <v>22</v>
      </c>
      <c r="G77" s="3" t="s">
        <v>32</v>
      </c>
      <c r="H77" s="2">
        <v>111</v>
      </c>
      <c r="I77" s="2">
        <v>3</v>
      </c>
      <c r="J77" s="2">
        <v>2</v>
      </c>
      <c r="K77" s="2" t="str">
        <f t="shared" si="4"/>
        <v>1º Semestre</v>
      </c>
      <c r="L77" s="2" t="str">
        <f t="shared" si="5"/>
        <v>T2</v>
      </c>
      <c r="M77" s="2" t="str">
        <f t="shared" si="3"/>
        <v>abr</v>
      </c>
      <c r="N77" s="2">
        <v>4</v>
      </c>
    </row>
    <row r="78" spans="2:14" x14ac:dyDescent="0.3">
      <c r="B78" s="2">
        <v>77</v>
      </c>
      <c r="C78" s="4">
        <v>45775</v>
      </c>
      <c r="D78" s="3" t="s">
        <v>11</v>
      </c>
      <c r="E78" s="3" t="s">
        <v>17</v>
      </c>
      <c r="F78" s="3" t="s">
        <v>25</v>
      </c>
      <c r="G78" s="3" t="s">
        <v>33</v>
      </c>
      <c r="H78" s="2">
        <v>40</v>
      </c>
      <c r="I78" s="2">
        <v>5</v>
      </c>
      <c r="J78" s="2">
        <v>3</v>
      </c>
      <c r="K78" s="2" t="str">
        <f t="shared" si="4"/>
        <v>1º Semestre</v>
      </c>
      <c r="L78" s="2" t="str">
        <f t="shared" si="5"/>
        <v>T2</v>
      </c>
      <c r="M78" s="2" t="str">
        <f t="shared" si="3"/>
        <v>abr</v>
      </c>
      <c r="N78" s="2">
        <v>4</v>
      </c>
    </row>
    <row r="79" spans="2:14" x14ac:dyDescent="0.3">
      <c r="B79" s="2">
        <v>78</v>
      </c>
      <c r="C79" s="4">
        <v>45776</v>
      </c>
      <c r="D79" s="3" t="s">
        <v>9</v>
      </c>
      <c r="E79" s="3" t="s">
        <v>20</v>
      </c>
      <c r="F79" s="3" t="s">
        <v>29</v>
      </c>
      <c r="G79" s="3" t="s">
        <v>35</v>
      </c>
      <c r="H79" s="2">
        <v>107</v>
      </c>
      <c r="I79" s="2">
        <v>1</v>
      </c>
      <c r="J79" s="2">
        <v>0</v>
      </c>
      <c r="K79" s="2" t="str">
        <f t="shared" si="4"/>
        <v>1º Semestre</v>
      </c>
      <c r="L79" s="2" t="str">
        <f t="shared" si="5"/>
        <v>T2</v>
      </c>
      <c r="M79" s="2" t="str">
        <f t="shared" si="3"/>
        <v>abr</v>
      </c>
      <c r="N79" s="2">
        <v>4</v>
      </c>
    </row>
    <row r="80" spans="2:14" x14ac:dyDescent="0.3">
      <c r="B80" s="2">
        <v>79</v>
      </c>
      <c r="C80" s="4">
        <v>45776</v>
      </c>
      <c r="D80" s="3" t="s">
        <v>12</v>
      </c>
      <c r="E80" s="3" t="s">
        <v>14</v>
      </c>
      <c r="F80" s="3" t="s">
        <v>27</v>
      </c>
      <c r="G80" s="3" t="s">
        <v>32</v>
      </c>
      <c r="H80" s="2">
        <v>20</v>
      </c>
      <c r="I80" s="2">
        <v>2</v>
      </c>
      <c r="J80" s="2">
        <v>1</v>
      </c>
      <c r="K80" s="2" t="str">
        <f t="shared" si="4"/>
        <v>1º Semestre</v>
      </c>
      <c r="L80" s="2" t="str">
        <f t="shared" si="5"/>
        <v>T2</v>
      </c>
      <c r="M80" s="2" t="str">
        <f t="shared" si="3"/>
        <v>abr</v>
      </c>
      <c r="N80" s="2">
        <v>4</v>
      </c>
    </row>
    <row r="81" spans="2:14" x14ac:dyDescent="0.3">
      <c r="B81" s="2">
        <v>80</v>
      </c>
      <c r="C81" s="4">
        <v>45777</v>
      </c>
      <c r="D81" s="3" t="s">
        <v>11</v>
      </c>
      <c r="E81" s="3" t="s">
        <v>16</v>
      </c>
      <c r="F81" s="3" t="s">
        <v>36</v>
      </c>
      <c r="G81" s="3" t="s">
        <v>34</v>
      </c>
      <c r="H81" s="2">
        <v>44</v>
      </c>
      <c r="I81" s="2">
        <v>7</v>
      </c>
      <c r="J81" s="2">
        <v>1</v>
      </c>
      <c r="K81" s="2" t="str">
        <f t="shared" si="4"/>
        <v>1º Semestre</v>
      </c>
      <c r="L81" s="2" t="str">
        <f t="shared" si="5"/>
        <v>T2</v>
      </c>
      <c r="M81" s="2" t="str">
        <f t="shared" si="3"/>
        <v>abr</v>
      </c>
      <c r="N81" s="2">
        <v>4</v>
      </c>
    </row>
    <row r="82" spans="2:14" x14ac:dyDescent="0.3">
      <c r="B82" s="2">
        <v>81</v>
      </c>
      <c r="C82" s="4">
        <v>45779</v>
      </c>
      <c r="D82" s="3" t="s">
        <v>9</v>
      </c>
      <c r="E82" s="3" t="s">
        <v>14</v>
      </c>
      <c r="F82" s="3" t="s">
        <v>22</v>
      </c>
      <c r="G82" s="3" t="s">
        <v>32</v>
      </c>
      <c r="H82" s="2">
        <v>119</v>
      </c>
      <c r="I82" s="2">
        <v>3</v>
      </c>
      <c r="J82" s="2">
        <v>2</v>
      </c>
      <c r="K82" s="2" t="str">
        <f t="shared" si="4"/>
        <v>1º Semestre</v>
      </c>
      <c r="L82" s="2" t="str">
        <f t="shared" si="5"/>
        <v>T2</v>
      </c>
      <c r="M82" s="2" t="str">
        <f t="shared" si="3"/>
        <v>mai</v>
      </c>
      <c r="N82" s="2">
        <v>5</v>
      </c>
    </row>
    <row r="83" spans="2:14" x14ac:dyDescent="0.3">
      <c r="B83" s="2">
        <v>82</v>
      </c>
      <c r="C83" s="4">
        <v>45782</v>
      </c>
      <c r="D83" s="3" t="s">
        <v>10</v>
      </c>
      <c r="E83" s="3" t="s">
        <v>16</v>
      </c>
      <c r="F83" s="3" t="s">
        <v>24</v>
      </c>
      <c r="G83" s="3" t="s">
        <v>33</v>
      </c>
      <c r="H83" s="2">
        <v>81</v>
      </c>
      <c r="I83" s="2">
        <v>6</v>
      </c>
      <c r="J83" s="2">
        <v>0</v>
      </c>
      <c r="K83" s="2" t="str">
        <f t="shared" si="4"/>
        <v>1º Semestre</v>
      </c>
      <c r="L83" s="2" t="str">
        <f t="shared" si="5"/>
        <v>T2</v>
      </c>
      <c r="M83" s="2" t="str">
        <f t="shared" si="3"/>
        <v>mai</v>
      </c>
      <c r="N83" s="2">
        <v>5</v>
      </c>
    </row>
    <row r="84" spans="2:14" x14ac:dyDescent="0.3">
      <c r="B84" s="2">
        <v>83</v>
      </c>
      <c r="C84" s="4">
        <v>45783</v>
      </c>
      <c r="D84" s="3" t="s">
        <v>11</v>
      </c>
      <c r="E84" s="3" t="s">
        <v>17</v>
      </c>
      <c r="F84" s="3" t="s">
        <v>25</v>
      </c>
      <c r="G84" s="3" t="s">
        <v>33</v>
      </c>
      <c r="H84" s="2">
        <v>42</v>
      </c>
      <c r="I84" s="2">
        <v>5</v>
      </c>
      <c r="J84" s="2">
        <v>3</v>
      </c>
      <c r="K84" s="2" t="str">
        <f t="shared" si="4"/>
        <v>1º Semestre</v>
      </c>
      <c r="L84" s="2" t="str">
        <f t="shared" si="5"/>
        <v>T2</v>
      </c>
      <c r="M84" s="2" t="str">
        <f t="shared" si="3"/>
        <v>mai</v>
      </c>
      <c r="N84" s="2">
        <v>5</v>
      </c>
    </row>
    <row r="85" spans="2:14" x14ac:dyDescent="0.3">
      <c r="B85" s="2">
        <v>84</v>
      </c>
      <c r="C85" s="4">
        <v>45784</v>
      </c>
      <c r="D85" s="3" t="s">
        <v>12</v>
      </c>
      <c r="E85" s="3" t="s">
        <v>18</v>
      </c>
      <c r="F85" s="3" t="s">
        <v>26</v>
      </c>
      <c r="G85" s="3" t="s">
        <v>32</v>
      </c>
      <c r="H85" s="2">
        <v>20</v>
      </c>
      <c r="I85" s="2">
        <v>2</v>
      </c>
      <c r="J85" s="2">
        <v>1</v>
      </c>
      <c r="K85" s="2" t="str">
        <f t="shared" si="4"/>
        <v>1º Semestre</v>
      </c>
      <c r="L85" s="2" t="str">
        <f t="shared" si="5"/>
        <v>T2</v>
      </c>
      <c r="M85" s="2" t="str">
        <f t="shared" si="3"/>
        <v>mai</v>
      </c>
      <c r="N85" s="2">
        <v>5</v>
      </c>
    </row>
    <row r="86" spans="2:14" x14ac:dyDescent="0.3">
      <c r="B86" s="2">
        <v>85</v>
      </c>
      <c r="C86" s="4">
        <v>45785</v>
      </c>
      <c r="D86" s="3" t="s">
        <v>9</v>
      </c>
      <c r="E86" s="3" t="s">
        <v>15</v>
      </c>
      <c r="F86" s="3" t="s">
        <v>23</v>
      </c>
      <c r="G86" s="3" t="s">
        <v>32</v>
      </c>
      <c r="H86" s="2">
        <v>100</v>
      </c>
      <c r="I86" s="2">
        <v>2</v>
      </c>
      <c r="J86" s="2">
        <v>1</v>
      </c>
      <c r="K86" s="2" t="str">
        <f t="shared" si="4"/>
        <v>1º Semestre</v>
      </c>
      <c r="L86" s="2" t="str">
        <f t="shared" si="5"/>
        <v>T2</v>
      </c>
      <c r="M86" s="2" t="str">
        <f t="shared" si="3"/>
        <v>mai</v>
      </c>
      <c r="N86" s="2">
        <v>5</v>
      </c>
    </row>
    <row r="87" spans="2:14" x14ac:dyDescent="0.3">
      <c r="B87" s="2">
        <v>86</v>
      </c>
      <c r="C87" s="4">
        <v>45786</v>
      </c>
      <c r="D87" s="3" t="s">
        <v>13</v>
      </c>
      <c r="E87" s="3" t="s">
        <v>19</v>
      </c>
      <c r="F87" s="3" t="s">
        <v>28</v>
      </c>
      <c r="G87" s="3" t="s">
        <v>34</v>
      </c>
      <c r="H87" s="2">
        <v>25</v>
      </c>
      <c r="I87" s="2">
        <v>6</v>
      </c>
      <c r="J87" s="2">
        <v>0</v>
      </c>
      <c r="K87" s="2" t="str">
        <f t="shared" si="4"/>
        <v>1º Semestre</v>
      </c>
      <c r="L87" s="2" t="str">
        <f t="shared" si="5"/>
        <v>T2</v>
      </c>
      <c r="M87" s="2" t="str">
        <f t="shared" si="3"/>
        <v>mai</v>
      </c>
      <c r="N87" s="2">
        <v>5</v>
      </c>
    </row>
    <row r="88" spans="2:14" x14ac:dyDescent="0.3">
      <c r="B88" s="2">
        <v>87</v>
      </c>
      <c r="C88" s="4">
        <v>45789</v>
      </c>
      <c r="D88" s="3" t="s">
        <v>9</v>
      </c>
      <c r="E88" s="3" t="s">
        <v>21</v>
      </c>
      <c r="F88" s="3" t="s">
        <v>30</v>
      </c>
      <c r="G88" s="3" t="s">
        <v>33</v>
      </c>
      <c r="H88" s="2">
        <v>123</v>
      </c>
      <c r="I88" s="2">
        <v>3</v>
      </c>
      <c r="J88" s="2">
        <v>2</v>
      </c>
      <c r="K88" s="2" t="str">
        <f t="shared" si="4"/>
        <v>1º Semestre</v>
      </c>
      <c r="L88" s="2" t="str">
        <f t="shared" si="5"/>
        <v>T2</v>
      </c>
      <c r="M88" s="2" t="str">
        <f t="shared" si="3"/>
        <v>mai</v>
      </c>
      <c r="N88" s="2">
        <v>5</v>
      </c>
    </row>
    <row r="89" spans="2:14" x14ac:dyDescent="0.3">
      <c r="B89" s="2">
        <v>88</v>
      </c>
      <c r="C89" s="4">
        <v>45790</v>
      </c>
      <c r="D89" s="3" t="s">
        <v>12</v>
      </c>
      <c r="E89" s="3" t="s">
        <v>14</v>
      </c>
      <c r="F89" s="3" t="s">
        <v>27</v>
      </c>
      <c r="G89" s="3" t="s">
        <v>32</v>
      </c>
      <c r="H89" s="2">
        <v>20</v>
      </c>
      <c r="I89" s="2">
        <v>2</v>
      </c>
      <c r="J89" s="2">
        <v>1</v>
      </c>
      <c r="K89" s="2" t="str">
        <f t="shared" si="4"/>
        <v>1º Semestre</v>
      </c>
      <c r="L89" s="2" t="str">
        <f t="shared" si="5"/>
        <v>T2</v>
      </c>
      <c r="M89" s="2" t="str">
        <f t="shared" si="3"/>
        <v>mai</v>
      </c>
      <c r="N89" s="2">
        <v>5</v>
      </c>
    </row>
    <row r="90" spans="2:14" x14ac:dyDescent="0.3">
      <c r="B90" s="2">
        <v>89</v>
      </c>
      <c r="C90" s="4">
        <v>45791</v>
      </c>
      <c r="D90" s="3" t="s">
        <v>11</v>
      </c>
      <c r="E90" s="3" t="s">
        <v>16</v>
      </c>
      <c r="F90" s="3" t="s">
        <v>36</v>
      </c>
      <c r="G90" s="3" t="s">
        <v>34</v>
      </c>
      <c r="H90" s="2">
        <v>40</v>
      </c>
      <c r="I90" s="2">
        <v>7</v>
      </c>
      <c r="J90" s="2">
        <v>1</v>
      </c>
      <c r="K90" s="2" t="str">
        <f t="shared" si="4"/>
        <v>1º Semestre</v>
      </c>
      <c r="L90" s="2" t="str">
        <f t="shared" si="5"/>
        <v>T2</v>
      </c>
      <c r="M90" s="2" t="str">
        <f t="shared" si="3"/>
        <v>mai</v>
      </c>
      <c r="N90" s="2">
        <v>5</v>
      </c>
    </row>
    <row r="91" spans="2:14" x14ac:dyDescent="0.3">
      <c r="B91" s="2">
        <v>90</v>
      </c>
      <c r="C91" s="4">
        <v>45792</v>
      </c>
      <c r="D91" s="3" t="s">
        <v>9</v>
      </c>
      <c r="E91" s="3" t="s">
        <v>37</v>
      </c>
      <c r="F91" s="3" t="s">
        <v>38</v>
      </c>
      <c r="G91" s="3" t="s">
        <v>33</v>
      </c>
      <c r="H91" s="2">
        <v>109</v>
      </c>
      <c r="I91" s="2">
        <v>4</v>
      </c>
      <c r="J91" s="2">
        <v>3</v>
      </c>
      <c r="K91" s="2" t="str">
        <f t="shared" si="4"/>
        <v>1º Semestre</v>
      </c>
      <c r="L91" s="2" t="str">
        <f t="shared" si="5"/>
        <v>T2</v>
      </c>
      <c r="M91" s="2" t="str">
        <f t="shared" si="3"/>
        <v>mai</v>
      </c>
      <c r="N91" s="2">
        <v>5</v>
      </c>
    </row>
    <row r="92" spans="2:14" x14ac:dyDescent="0.3">
      <c r="B92" s="2">
        <v>91</v>
      </c>
      <c r="C92" s="4">
        <v>45793</v>
      </c>
      <c r="D92" s="3" t="s">
        <v>10</v>
      </c>
      <c r="E92" s="3" t="s">
        <v>17</v>
      </c>
      <c r="F92" s="3" t="s">
        <v>39</v>
      </c>
      <c r="G92" s="3" t="s">
        <v>33</v>
      </c>
      <c r="H92" s="2">
        <v>84</v>
      </c>
      <c r="I92" s="2">
        <v>4</v>
      </c>
      <c r="J92" s="2">
        <v>2</v>
      </c>
      <c r="K92" s="2" t="str">
        <f t="shared" si="4"/>
        <v>1º Semestre</v>
      </c>
      <c r="L92" s="2" t="str">
        <f t="shared" si="5"/>
        <v>T2</v>
      </c>
      <c r="M92" s="2" t="str">
        <f t="shared" si="3"/>
        <v>mai</v>
      </c>
      <c r="N92" s="2">
        <v>5</v>
      </c>
    </row>
    <row r="93" spans="2:14" x14ac:dyDescent="0.3">
      <c r="B93" s="2">
        <v>92</v>
      </c>
      <c r="C93" s="4">
        <v>45796</v>
      </c>
      <c r="D93" s="3" t="s">
        <v>13</v>
      </c>
      <c r="E93" s="3" t="s">
        <v>19</v>
      </c>
      <c r="F93" s="3" t="s">
        <v>28</v>
      </c>
      <c r="G93" s="3" t="s">
        <v>34</v>
      </c>
      <c r="H93" s="2">
        <v>25</v>
      </c>
      <c r="I93" s="2">
        <v>6</v>
      </c>
      <c r="J93" s="2">
        <v>1</v>
      </c>
      <c r="K93" s="2" t="str">
        <f t="shared" si="4"/>
        <v>1º Semestre</v>
      </c>
      <c r="L93" s="2" t="str">
        <f t="shared" si="5"/>
        <v>T2</v>
      </c>
      <c r="M93" s="2" t="str">
        <f t="shared" si="3"/>
        <v>mai</v>
      </c>
      <c r="N93" s="2">
        <v>5</v>
      </c>
    </row>
    <row r="94" spans="2:14" x14ac:dyDescent="0.3">
      <c r="B94" s="2">
        <v>93</v>
      </c>
      <c r="C94" s="4">
        <v>45797</v>
      </c>
      <c r="D94" s="3" t="s">
        <v>9</v>
      </c>
      <c r="E94" s="3" t="s">
        <v>15</v>
      </c>
      <c r="F94" s="3" t="s">
        <v>40</v>
      </c>
      <c r="G94" s="3" t="s">
        <v>32</v>
      </c>
      <c r="H94" s="2">
        <v>125</v>
      </c>
      <c r="I94" s="2">
        <v>2</v>
      </c>
      <c r="J94" s="2">
        <v>1</v>
      </c>
      <c r="K94" s="2" t="str">
        <f t="shared" si="4"/>
        <v>1º Semestre</v>
      </c>
      <c r="L94" s="2" t="str">
        <f t="shared" si="5"/>
        <v>T2</v>
      </c>
      <c r="M94" s="2" t="str">
        <f t="shared" si="3"/>
        <v>mai</v>
      </c>
      <c r="N94" s="2">
        <v>5</v>
      </c>
    </row>
    <row r="95" spans="2:14" x14ac:dyDescent="0.3">
      <c r="B95" s="2">
        <v>94</v>
      </c>
      <c r="C95" s="4">
        <v>45798</v>
      </c>
      <c r="D95" s="3" t="s">
        <v>12</v>
      </c>
      <c r="E95" s="3" t="s">
        <v>18</v>
      </c>
      <c r="F95" s="3" t="s">
        <v>31</v>
      </c>
      <c r="G95" s="3" t="s">
        <v>32</v>
      </c>
      <c r="H95" s="2">
        <v>20</v>
      </c>
      <c r="I95" s="2">
        <v>2</v>
      </c>
      <c r="J95" s="2">
        <v>1</v>
      </c>
      <c r="K95" s="2" t="str">
        <f t="shared" si="4"/>
        <v>1º Semestre</v>
      </c>
      <c r="L95" s="2" t="str">
        <f t="shared" si="5"/>
        <v>T2</v>
      </c>
      <c r="M95" s="2" t="str">
        <f t="shared" si="3"/>
        <v>mai</v>
      </c>
      <c r="N95" s="2">
        <v>5</v>
      </c>
    </row>
    <row r="96" spans="2:14" x14ac:dyDescent="0.3">
      <c r="B96" s="2">
        <v>95</v>
      </c>
      <c r="C96" s="4">
        <v>45799</v>
      </c>
      <c r="D96" s="3" t="s">
        <v>10</v>
      </c>
      <c r="E96" s="3" t="s">
        <v>16</v>
      </c>
      <c r="F96" s="3" t="s">
        <v>24</v>
      </c>
      <c r="G96" s="3" t="s">
        <v>33</v>
      </c>
      <c r="H96" s="2">
        <v>86</v>
      </c>
      <c r="I96" s="2">
        <v>6</v>
      </c>
      <c r="J96" s="2">
        <v>1</v>
      </c>
      <c r="K96" s="2" t="str">
        <f t="shared" si="4"/>
        <v>1º Semestre</v>
      </c>
      <c r="L96" s="2" t="str">
        <f t="shared" si="5"/>
        <v>T2</v>
      </c>
      <c r="M96" s="2" t="str">
        <f t="shared" si="3"/>
        <v>mai</v>
      </c>
      <c r="N96" s="2">
        <v>5</v>
      </c>
    </row>
    <row r="97" spans="2:14" x14ac:dyDescent="0.3">
      <c r="B97" s="2">
        <v>96</v>
      </c>
      <c r="C97" s="4">
        <v>45800</v>
      </c>
      <c r="D97" s="3" t="s">
        <v>9</v>
      </c>
      <c r="E97" s="3" t="s">
        <v>14</v>
      </c>
      <c r="F97" s="3" t="s">
        <v>22</v>
      </c>
      <c r="G97" s="3" t="s">
        <v>32</v>
      </c>
      <c r="H97" s="2">
        <v>130</v>
      </c>
      <c r="I97" s="2">
        <v>3</v>
      </c>
      <c r="J97" s="2">
        <v>2</v>
      </c>
      <c r="K97" s="2" t="str">
        <f t="shared" si="4"/>
        <v>1º Semestre</v>
      </c>
      <c r="L97" s="2" t="str">
        <f t="shared" si="5"/>
        <v>T2</v>
      </c>
      <c r="M97" s="2" t="str">
        <f t="shared" si="3"/>
        <v>mai</v>
      </c>
      <c r="N97" s="2">
        <v>5</v>
      </c>
    </row>
    <row r="98" spans="2:14" x14ac:dyDescent="0.3">
      <c r="B98" s="2">
        <v>97</v>
      </c>
      <c r="C98" s="4">
        <v>45803</v>
      </c>
      <c r="D98" s="3" t="s">
        <v>11</v>
      </c>
      <c r="E98" s="3" t="s">
        <v>17</v>
      </c>
      <c r="F98" s="3" t="s">
        <v>25</v>
      </c>
      <c r="G98" s="3" t="s">
        <v>33</v>
      </c>
      <c r="H98" s="2">
        <v>40</v>
      </c>
      <c r="I98" s="2">
        <v>4</v>
      </c>
      <c r="J98" s="2">
        <v>3</v>
      </c>
      <c r="K98" s="2" t="str">
        <f t="shared" si="4"/>
        <v>1º Semestre</v>
      </c>
      <c r="L98" s="2" t="str">
        <f t="shared" si="5"/>
        <v>T2</v>
      </c>
      <c r="M98" s="2" t="str">
        <f t="shared" si="3"/>
        <v>mai</v>
      </c>
      <c r="N98" s="2">
        <v>5</v>
      </c>
    </row>
    <row r="99" spans="2:14" x14ac:dyDescent="0.3">
      <c r="B99" s="2">
        <v>98</v>
      </c>
      <c r="C99" s="4">
        <v>45804</v>
      </c>
      <c r="D99" s="3" t="s">
        <v>9</v>
      </c>
      <c r="E99" s="3" t="s">
        <v>20</v>
      </c>
      <c r="F99" s="3" t="s">
        <v>29</v>
      </c>
      <c r="G99" s="3" t="s">
        <v>35</v>
      </c>
      <c r="H99" s="2">
        <v>111</v>
      </c>
      <c r="I99" s="2">
        <v>1</v>
      </c>
      <c r="J99" s="2">
        <v>1</v>
      </c>
      <c r="K99" s="2" t="str">
        <f t="shared" si="4"/>
        <v>1º Semestre</v>
      </c>
      <c r="L99" s="2" t="str">
        <f t="shared" si="5"/>
        <v>T2</v>
      </c>
      <c r="M99" s="2" t="str">
        <f t="shared" si="3"/>
        <v>mai</v>
      </c>
      <c r="N99" s="2">
        <v>5</v>
      </c>
    </row>
    <row r="100" spans="2:14" x14ac:dyDescent="0.3">
      <c r="B100" s="2">
        <v>99</v>
      </c>
      <c r="C100" s="4">
        <v>45805</v>
      </c>
      <c r="D100" s="3" t="s">
        <v>12</v>
      </c>
      <c r="E100" s="3" t="s">
        <v>14</v>
      </c>
      <c r="F100" s="3" t="s">
        <v>27</v>
      </c>
      <c r="G100" s="3" t="s">
        <v>32</v>
      </c>
      <c r="H100" s="2">
        <v>20</v>
      </c>
      <c r="I100" s="2">
        <v>2</v>
      </c>
      <c r="J100" s="2">
        <v>1</v>
      </c>
      <c r="K100" s="2" t="str">
        <f t="shared" si="4"/>
        <v>1º Semestre</v>
      </c>
      <c r="L100" s="2" t="str">
        <f t="shared" si="5"/>
        <v>T2</v>
      </c>
      <c r="M100" s="2" t="str">
        <f t="shared" si="3"/>
        <v>mai</v>
      </c>
      <c r="N100" s="2">
        <v>5</v>
      </c>
    </row>
    <row r="101" spans="2:14" x14ac:dyDescent="0.3">
      <c r="B101" s="2">
        <v>100</v>
      </c>
      <c r="C101" s="4">
        <v>45807</v>
      </c>
      <c r="D101" s="3" t="s">
        <v>11</v>
      </c>
      <c r="E101" s="3" t="s">
        <v>16</v>
      </c>
      <c r="F101" s="3" t="s">
        <v>36</v>
      </c>
      <c r="G101" s="3" t="s">
        <v>34</v>
      </c>
      <c r="H101" s="2">
        <v>44</v>
      </c>
      <c r="I101" s="2">
        <v>6</v>
      </c>
      <c r="J101" s="2">
        <v>1</v>
      </c>
      <c r="K101" s="2" t="str">
        <f t="shared" si="4"/>
        <v>1º Semestre</v>
      </c>
      <c r="L101" s="2" t="str">
        <f t="shared" si="5"/>
        <v>T2</v>
      </c>
      <c r="M101" s="2" t="str">
        <f t="shared" si="3"/>
        <v>mai</v>
      </c>
      <c r="N101" s="2">
        <v>5</v>
      </c>
    </row>
    <row r="102" spans="2:14" x14ac:dyDescent="0.3">
      <c r="B102" s="2">
        <v>101</v>
      </c>
      <c r="C102" s="4">
        <v>45810</v>
      </c>
      <c r="D102" s="3" t="s">
        <v>9</v>
      </c>
      <c r="E102" s="3" t="s">
        <v>14</v>
      </c>
      <c r="F102" s="3" t="s">
        <v>22</v>
      </c>
      <c r="G102" s="3" t="s">
        <v>32</v>
      </c>
      <c r="H102" s="2">
        <v>122</v>
      </c>
      <c r="I102" s="2">
        <v>2</v>
      </c>
      <c r="J102" s="2">
        <v>1</v>
      </c>
      <c r="K102" s="2" t="str">
        <f t="shared" si="4"/>
        <v>1º Semestre</v>
      </c>
      <c r="L102" s="2" t="str">
        <f t="shared" si="5"/>
        <v>T2</v>
      </c>
      <c r="M102" s="2" t="str">
        <f t="shared" si="3"/>
        <v>jun</v>
      </c>
      <c r="N102" s="2">
        <v>6</v>
      </c>
    </row>
    <row r="103" spans="2:14" x14ac:dyDescent="0.3">
      <c r="B103" s="2">
        <v>102</v>
      </c>
      <c r="C103" s="4">
        <v>45811</v>
      </c>
      <c r="D103" s="3" t="s">
        <v>10</v>
      </c>
      <c r="E103" s="3" t="s">
        <v>16</v>
      </c>
      <c r="F103" s="3" t="s">
        <v>24</v>
      </c>
      <c r="G103" s="3" t="s">
        <v>33</v>
      </c>
      <c r="H103" s="2">
        <v>89</v>
      </c>
      <c r="I103" s="2">
        <v>5</v>
      </c>
      <c r="J103" s="2">
        <v>1</v>
      </c>
      <c r="K103" s="2" t="str">
        <f t="shared" si="4"/>
        <v>1º Semestre</v>
      </c>
      <c r="L103" s="2" t="str">
        <f t="shared" si="5"/>
        <v>T2</v>
      </c>
      <c r="M103" s="2" t="str">
        <f t="shared" si="3"/>
        <v>jun</v>
      </c>
      <c r="N103" s="2">
        <v>6</v>
      </c>
    </row>
    <row r="104" spans="2:14" x14ac:dyDescent="0.3">
      <c r="B104" s="2">
        <v>103</v>
      </c>
      <c r="C104" s="4">
        <v>45812</v>
      </c>
      <c r="D104" s="3" t="s">
        <v>11</v>
      </c>
      <c r="E104" s="3" t="s">
        <v>17</v>
      </c>
      <c r="F104" s="3" t="s">
        <v>25</v>
      </c>
      <c r="G104" s="3" t="s">
        <v>33</v>
      </c>
      <c r="H104" s="2">
        <v>50</v>
      </c>
      <c r="I104" s="2">
        <v>4</v>
      </c>
      <c r="J104" s="2">
        <v>2</v>
      </c>
      <c r="K104" s="2" t="str">
        <f t="shared" si="4"/>
        <v>1º Semestre</v>
      </c>
      <c r="L104" s="2" t="str">
        <f t="shared" si="5"/>
        <v>T2</v>
      </c>
      <c r="M104" s="2" t="str">
        <f t="shared" si="3"/>
        <v>jun</v>
      </c>
      <c r="N104" s="2">
        <v>6</v>
      </c>
    </row>
    <row r="105" spans="2:14" x14ac:dyDescent="0.3">
      <c r="B105" s="2">
        <v>104</v>
      </c>
      <c r="C105" s="4">
        <v>45813</v>
      </c>
      <c r="D105" s="3" t="s">
        <v>12</v>
      </c>
      <c r="E105" s="3" t="s">
        <v>18</v>
      </c>
      <c r="F105" s="3" t="s">
        <v>26</v>
      </c>
      <c r="G105" s="3" t="s">
        <v>32</v>
      </c>
      <c r="H105" s="2">
        <v>30</v>
      </c>
      <c r="I105" s="2">
        <v>1</v>
      </c>
      <c r="J105" s="2">
        <v>1</v>
      </c>
      <c r="K105" s="2" t="str">
        <f t="shared" si="4"/>
        <v>1º Semestre</v>
      </c>
      <c r="L105" s="2" t="str">
        <f t="shared" si="5"/>
        <v>T2</v>
      </c>
      <c r="M105" s="2" t="str">
        <f t="shared" si="3"/>
        <v>jun</v>
      </c>
      <c r="N105" s="2">
        <v>6</v>
      </c>
    </row>
    <row r="106" spans="2:14" x14ac:dyDescent="0.3">
      <c r="B106" s="2">
        <v>105</v>
      </c>
      <c r="C106" s="4">
        <v>45814</v>
      </c>
      <c r="D106" s="3" t="s">
        <v>9</v>
      </c>
      <c r="E106" s="3" t="s">
        <v>15</v>
      </c>
      <c r="F106" s="3" t="s">
        <v>23</v>
      </c>
      <c r="G106" s="3" t="s">
        <v>32</v>
      </c>
      <c r="H106" s="2">
        <v>110</v>
      </c>
      <c r="I106" s="2">
        <v>2</v>
      </c>
      <c r="J106" s="2">
        <v>1</v>
      </c>
      <c r="K106" s="2" t="str">
        <f t="shared" si="4"/>
        <v>1º Semestre</v>
      </c>
      <c r="L106" s="2" t="str">
        <f t="shared" si="5"/>
        <v>T2</v>
      </c>
      <c r="M106" s="2" t="str">
        <f t="shared" si="3"/>
        <v>jun</v>
      </c>
      <c r="N106" s="2">
        <v>6</v>
      </c>
    </row>
    <row r="107" spans="2:14" x14ac:dyDescent="0.3">
      <c r="B107" s="2">
        <v>106</v>
      </c>
      <c r="C107" s="4">
        <v>45817</v>
      </c>
      <c r="D107" s="3" t="s">
        <v>13</v>
      </c>
      <c r="E107" s="3" t="s">
        <v>19</v>
      </c>
      <c r="F107" s="3" t="s">
        <v>28</v>
      </c>
      <c r="G107" s="3" t="s">
        <v>34</v>
      </c>
      <c r="H107" s="2">
        <v>25</v>
      </c>
      <c r="I107" s="2">
        <v>5</v>
      </c>
      <c r="J107" s="2">
        <v>0</v>
      </c>
      <c r="K107" s="2" t="str">
        <f t="shared" si="4"/>
        <v>1º Semestre</v>
      </c>
      <c r="L107" s="2" t="str">
        <f t="shared" si="5"/>
        <v>T2</v>
      </c>
      <c r="M107" s="2" t="str">
        <f t="shared" si="3"/>
        <v>jun</v>
      </c>
      <c r="N107" s="2">
        <v>6</v>
      </c>
    </row>
    <row r="108" spans="2:14" x14ac:dyDescent="0.3">
      <c r="B108" s="2">
        <v>107</v>
      </c>
      <c r="C108" s="4">
        <v>45818</v>
      </c>
      <c r="D108" s="3" t="s">
        <v>9</v>
      </c>
      <c r="E108" s="3" t="s">
        <v>21</v>
      </c>
      <c r="F108" s="3" t="s">
        <v>30</v>
      </c>
      <c r="G108" s="3" t="s">
        <v>33</v>
      </c>
      <c r="H108" s="2">
        <v>110</v>
      </c>
      <c r="I108" s="2">
        <v>2</v>
      </c>
      <c r="J108" s="2">
        <v>1</v>
      </c>
      <c r="K108" s="2" t="str">
        <f t="shared" si="4"/>
        <v>1º Semestre</v>
      </c>
      <c r="L108" s="2" t="str">
        <f t="shared" si="5"/>
        <v>T2</v>
      </c>
      <c r="M108" s="2" t="str">
        <f t="shared" si="3"/>
        <v>jun</v>
      </c>
      <c r="N108" s="2">
        <v>6</v>
      </c>
    </row>
    <row r="109" spans="2:14" x14ac:dyDescent="0.3">
      <c r="B109" s="2">
        <v>108</v>
      </c>
      <c r="C109" s="4">
        <v>45819</v>
      </c>
      <c r="D109" s="3" t="s">
        <v>12</v>
      </c>
      <c r="E109" s="3" t="s">
        <v>14</v>
      </c>
      <c r="F109" s="3" t="s">
        <v>27</v>
      </c>
      <c r="G109" s="3" t="s">
        <v>32</v>
      </c>
      <c r="H109" s="2">
        <v>30</v>
      </c>
      <c r="I109" s="2">
        <v>2</v>
      </c>
      <c r="J109" s="2">
        <v>1</v>
      </c>
      <c r="K109" s="2" t="str">
        <f t="shared" si="4"/>
        <v>1º Semestre</v>
      </c>
      <c r="L109" s="2" t="str">
        <f t="shared" si="5"/>
        <v>T2</v>
      </c>
      <c r="M109" s="2" t="str">
        <f t="shared" si="3"/>
        <v>jun</v>
      </c>
      <c r="N109" s="2">
        <v>6</v>
      </c>
    </row>
    <row r="110" spans="2:14" x14ac:dyDescent="0.3">
      <c r="B110" s="2">
        <v>109</v>
      </c>
      <c r="C110" s="4">
        <v>45820</v>
      </c>
      <c r="D110" s="3" t="s">
        <v>11</v>
      </c>
      <c r="E110" s="3" t="s">
        <v>16</v>
      </c>
      <c r="F110" s="3" t="s">
        <v>36</v>
      </c>
      <c r="G110" s="3" t="s">
        <v>34</v>
      </c>
      <c r="H110" s="2">
        <v>50</v>
      </c>
      <c r="I110" s="2">
        <v>6</v>
      </c>
      <c r="J110" s="2">
        <v>1</v>
      </c>
      <c r="K110" s="2" t="str">
        <f t="shared" si="4"/>
        <v>1º Semestre</v>
      </c>
      <c r="L110" s="2" t="str">
        <f t="shared" si="5"/>
        <v>T2</v>
      </c>
      <c r="M110" s="2" t="str">
        <f t="shared" si="3"/>
        <v>jun</v>
      </c>
      <c r="N110" s="2">
        <v>6</v>
      </c>
    </row>
    <row r="111" spans="2:14" x14ac:dyDescent="0.3">
      <c r="B111" s="2">
        <v>110</v>
      </c>
      <c r="C111" s="4">
        <v>45821</v>
      </c>
      <c r="D111" s="3" t="s">
        <v>9</v>
      </c>
      <c r="E111" s="3" t="s">
        <v>37</v>
      </c>
      <c r="F111" s="3" t="s">
        <v>38</v>
      </c>
      <c r="G111" s="3" t="s">
        <v>33</v>
      </c>
      <c r="H111" s="2">
        <v>109</v>
      </c>
      <c r="I111" s="2">
        <v>3</v>
      </c>
      <c r="J111" s="2">
        <v>2</v>
      </c>
      <c r="K111" s="2" t="str">
        <f t="shared" si="4"/>
        <v>1º Semestre</v>
      </c>
      <c r="L111" s="2" t="str">
        <f t="shared" si="5"/>
        <v>T2</v>
      </c>
      <c r="M111" s="2" t="str">
        <f t="shared" si="3"/>
        <v>jun</v>
      </c>
      <c r="N111" s="2">
        <v>6</v>
      </c>
    </row>
    <row r="112" spans="2:14" x14ac:dyDescent="0.3">
      <c r="B112" s="2">
        <v>111</v>
      </c>
      <c r="C112" s="4">
        <v>45824</v>
      </c>
      <c r="D112" s="3" t="s">
        <v>10</v>
      </c>
      <c r="E112" s="3" t="s">
        <v>17</v>
      </c>
      <c r="F112" s="3" t="s">
        <v>39</v>
      </c>
      <c r="G112" s="3" t="s">
        <v>33</v>
      </c>
      <c r="H112" s="2">
        <v>85</v>
      </c>
      <c r="I112" s="2">
        <v>3</v>
      </c>
      <c r="J112" s="2">
        <v>2</v>
      </c>
      <c r="K112" s="2" t="str">
        <f t="shared" si="4"/>
        <v>1º Semestre</v>
      </c>
      <c r="L112" s="2" t="str">
        <f t="shared" si="5"/>
        <v>T2</v>
      </c>
      <c r="M112" s="2" t="str">
        <f t="shared" si="3"/>
        <v>jun</v>
      </c>
      <c r="N112" s="2">
        <v>6</v>
      </c>
    </row>
    <row r="113" spans="2:14" x14ac:dyDescent="0.3">
      <c r="B113" s="2">
        <v>112</v>
      </c>
      <c r="C113" s="4">
        <v>45825</v>
      </c>
      <c r="D113" s="3" t="s">
        <v>13</v>
      </c>
      <c r="E113" s="3" t="s">
        <v>19</v>
      </c>
      <c r="F113" s="3" t="s">
        <v>28</v>
      </c>
      <c r="G113" s="3" t="s">
        <v>34</v>
      </c>
      <c r="H113" s="2">
        <v>25</v>
      </c>
      <c r="I113" s="2">
        <v>5</v>
      </c>
      <c r="J113" s="2">
        <v>2</v>
      </c>
      <c r="K113" s="2" t="str">
        <f t="shared" si="4"/>
        <v>1º Semestre</v>
      </c>
      <c r="L113" s="2" t="str">
        <f t="shared" si="5"/>
        <v>T2</v>
      </c>
      <c r="M113" s="2" t="str">
        <f t="shared" si="3"/>
        <v>jun</v>
      </c>
      <c r="N113" s="2">
        <v>6</v>
      </c>
    </row>
    <row r="114" spans="2:14" x14ac:dyDescent="0.3">
      <c r="B114" s="2">
        <v>113</v>
      </c>
      <c r="C114" s="4">
        <v>45826</v>
      </c>
      <c r="D114" s="3" t="s">
        <v>9</v>
      </c>
      <c r="E114" s="3" t="s">
        <v>15</v>
      </c>
      <c r="F114" s="3" t="s">
        <v>40</v>
      </c>
      <c r="G114" s="3" t="s">
        <v>32</v>
      </c>
      <c r="H114" s="2">
        <v>115</v>
      </c>
      <c r="I114" s="2">
        <v>2</v>
      </c>
      <c r="J114" s="2">
        <v>1</v>
      </c>
      <c r="K114" s="2" t="str">
        <f t="shared" si="4"/>
        <v>1º Semestre</v>
      </c>
      <c r="L114" s="2" t="str">
        <f t="shared" si="5"/>
        <v>T2</v>
      </c>
      <c r="M114" s="2" t="str">
        <f t="shared" si="3"/>
        <v>jun</v>
      </c>
      <c r="N114" s="2">
        <v>6</v>
      </c>
    </row>
    <row r="115" spans="2:14" x14ac:dyDescent="0.3">
      <c r="B115" s="2">
        <v>114</v>
      </c>
      <c r="C115" s="4">
        <v>45828</v>
      </c>
      <c r="D115" s="3" t="s">
        <v>12</v>
      </c>
      <c r="E115" s="3" t="s">
        <v>18</v>
      </c>
      <c r="F115" s="3" t="s">
        <v>31</v>
      </c>
      <c r="G115" s="3" t="s">
        <v>32</v>
      </c>
      <c r="H115" s="2">
        <v>30</v>
      </c>
      <c r="I115" s="2">
        <v>1</v>
      </c>
      <c r="J115" s="2">
        <v>1</v>
      </c>
      <c r="K115" s="2" t="str">
        <f t="shared" si="4"/>
        <v>1º Semestre</v>
      </c>
      <c r="L115" s="2" t="str">
        <f t="shared" si="5"/>
        <v>T2</v>
      </c>
      <c r="M115" s="2" t="str">
        <f t="shared" si="3"/>
        <v>jun</v>
      </c>
      <c r="N115" s="2">
        <v>6</v>
      </c>
    </row>
    <row r="116" spans="2:14" x14ac:dyDescent="0.3">
      <c r="B116" s="2">
        <v>115</v>
      </c>
      <c r="C116" s="4">
        <v>45831</v>
      </c>
      <c r="D116" s="3" t="s">
        <v>10</v>
      </c>
      <c r="E116" s="3" t="s">
        <v>16</v>
      </c>
      <c r="F116" s="3" t="s">
        <v>24</v>
      </c>
      <c r="G116" s="3" t="s">
        <v>33</v>
      </c>
      <c r="H116" s="2">
        <v>80</v>
      </c>
      <c r="I116" s="2">
        <v>5</v>
      </c>
      <c r="J116" s="2">
        <v>1</v>
      </c>
      <c r="K116" s="2" t="str">
        <f t="shared" si="4"/>
        <v>1º Semestre</v>
      </c>
      <c r="L116" s="2" t="str">
        <f t="shared" si="5"/>
        <v>T2</v>
      </c>
      <c r="M116" s="2" t="str">
        <f t="shared" si="3"/>
        <v>jun</v>
      </c>
      <c r="N116" s="2">
        <v>6</v>
      </c>
    </row>
    <row r="117" spans="2:14" x14ac:dyDescent="0.3">
      <c r="B117" s="2">
        <v>116</v>
      </c>
      <c r="C117" s="4">
        <v>45832</v>
      </c>
      <c r="D117" s="3" t="s">
        <v>9</v>
      </c>
      <c r="E117" s="3" t="s">
        <v>14</v>
      </c>
      <c r="F117" s="3" t="s">
        <v>22</v>
      </c>
      <c r="G117" s="3" t="s">
        <v>32</v>
      </c>
      <c r="H117" s="2">
        <v>115</v>
      </c>
      <c r="I117" s="2">
        <v>2</v>
      </c>
      <c r="J117" s="2">
        <v>1</v>
      </c>
      <c r="K117" s="2" t="str">
        <f t="shared" si="4"/>
        <v>1º Semestre</v>
      </c>
      <c r="L117" s="2" t="str">
        <f t="shared" si="5"/>
        <v>T2</v>
      </c>
      <c r="M117" s="2" t="str">
        <f t="shared" si="3"/>
        <v>jun</v>
      </c>
      <c r="N117" s="2">
        <v>6</v>
      </c>
    </row>
    <row r="118" spans="2:14" x14ac:dyDescent="0.3">
      <c r="B118" s="2">
        <v>117</v>
      </c>
      <c r="C118" s="4">
        <v>45833</v>
      </c>
      <c r="D118" s="3" t="s">
        <v>11</v>
      </c>
      <c r="E118" s="3" t="s">
        <v>17</v>
      </c>
      <c r="F118" s="3" t="s">
        <v>25</v>
      </c>
      <c r="G118" s="3" t="s">
        <v>33</v>
      </c>
      <c r="H118" s="2">
        <v>50</v>
      </c>
      <c r="I118" s="2">
        <v>4</v>
      </c>
      <c r="J118" s="2">
        <v>2</v>
      </c>
      <c r="K118" s="2" t="str">
        <f t="shared" si="4"/>
        <v>1º Semestre</v>
      </c>
      <c r="L118" s="2" t="str">
        <f t="shared" si="5"/>
        <v>T2</v>
      </c>
      <c r="M118" s="2" t="str">
        <f t="shared" si="3"/>
        <v>jun</v>
      </c>
      <c r="N118" s="2">
        <v>6</v>
      </c>
    </row>
    <row r="119" spans="2:14" x14ac:dyDescent="0.3">
      <c r="B119" s="2">
        <v>118</v>
      </c>
      <c r="C119" s="4">
        <v>45834</v>
      </c>
      <c r="D119" s="3" t="s">
        <v>9</v>
      </c>
      <c r="E119" s="3" t="s">
        <v>20</v>
      </c>
      <c r="F119" s="3" t="s">
        <v>29</v>
      </c>
      <c r="G119" s="3" t="s">
        <v>35</v>
      </c>
      <c r="H119" s="2">
        <v>109</v>
      </c>
      <c r="I119" s="2">
        <v>1</v>
      </c>
      <c r="J119" s="2">
        <v>1</v>
      </c>
      <c r="K119" s="2" t="str">
        <f t="shared" si="4"/>
        <v>1º Semestre</v>
      </c>
      <c r="L119" s="2" t="str">
        <f t="shared" si="5"/>
        <v>T2</v>
      </c>
      <c r="M119" s="2" t="str">
        <f t="shared" si="3"/>
        <v>jun</v>
      </c>
      <c r="N119" s="2">
        <v>6</v>
      </c>
    </row>
    <row r="120" spans="2:14" x14ac:dyDescent="0.3">
      <c r="B120" s="2">
        <v>119</v>
      </c>
      <c r="C120" s="4">
        <v>45835</v>
      </c>
      <c r="D120" s="3" t="s">
        <v>12</v>
      </c>
      <c r="E120" s="3" t="s">
        <v>14</v>
      </c>
      <c r="F120" s="3" t="s">
        <v>27</v>
      </c>
      <c r="G120" s="3" t="s">
        <v>32</v>
      </c>
      <c r="H120" s="2">
        <v>30</v>
      </c>
      <c r="I120" s="2">
        <v>2</v>
      </c>
      <c r="J120" s="2">
        <v>1</v>
      </c>
      <c r="K120" s="2" t="str">
        <f t="shared" si="4"/>
        <v>1º Semestre</v>
      </c>
      <c r="L120" s="2" t="str">
        <f t="shared" si="5"/>
        <v>T2</v>
      </c>
      <c r="M120" s="2" t="str">
        <f t="shared" si="3"/>
        <v>jun</v>
      </c>
      <c r="N120" s="2">
        <v>6</v>
      </c>
    </row>
    <row r="121" spans="2:14" x14ac:dyDescent="0.3">
      <c r="B121" s="2">
        <v>120</v>
      </c>
      <c r="C121" s="4">
        <v>45838</v>
      </c>
      <c r="D121" s="3" t="s">
        <v>11</v>
      </c>
      <c r="E121" s="3" t="s">
        <v>16</v>
      </c>
      <c r="F121" s="3" t="s">
        <v>36</v>
      </c>
      <c r="G121" s="3" t="s">
        <v>34</v>
      </c>
      <c r="H121" s="2">
        <v>44</v>
      </c>
      <c r="I121" s="2">
        <v>5</v>
      </c>
      <c r="J121" s="2">
        <v>1</v>
      </c>
      <c r="K121" s="2" t="str">
        <f t="shared" si="4"/>
        <v>1º Semestre</v>
      </c>
      <c r="L121" s="2" t="str">
        <f t="shared" si="5"/>
        <v>T2</v>
      </c>
      <c r="M121" s="2" t="str">
        <f t="shared" si="3"/>
        <v>jun</v>
      </c>
      <c r="N121" s="2">
        <v>6</v>
      </c>
    </row>
    <row r="122" spans="2:14" x14ac:dyDescent="0.3">
      <c r="B122" s="2">
        <v>121</v>
      </c>
      <c r="C122" s="4">
        <v>45840</v>
      </c>
      <c r="D122" s="3" t="s">
        <v>9</v>
      </c>
      <c r="E122" s="3" t="s">
        <v>14</v>
      </c>
      <c r="F122" s="3" t="s">
        <v>22</v>
      </c>
      <c r="G122" s="3" t="s">
        <v>32</v>
      </c>
      <c r="H122" s="2">
        <v>109</v>
      </c>
      <c r="I122" s="2">
        <v>2</v>
      </c>
      <c r="J122" s="2">
        <v>1</v>
      </c>
      <c r="K122" s="2" t="str">
        <f t="shared" si="4"/>
        <v>2º Semestre</v>
      </c>
      <c r="L122" s="2" t="str">
        <f t="shared" si="5"/>
        <v>T3</v>
      </c>
      <c r="M122" s="2" t="str">
        <f t="shared" si="3"/>
        <v>jul</v>
      </c>
      <c r="N122" s="2">
        <v>7</v>
      </c>
    </row>
    <row r="123" spans="2:14" x14ac:dyDescent="0.3">
      <c r="B123" s="2">
        <v>122</v>
      </c>
      <c r="C123" s="4">
        <v>45841</v>
      </c>
      <c r="D123" s="3" t="s">
        <v>10</v>
      </c>
      <c r="E123" s="3" t="s">
        <v>16</v>
      </c>
      <c r="F123" s="3" t="s">
        <v>24</v>
      </c>
      <c r="G123" s="3" t="s">
        <v>33</v>
      </c>
      <c r="H123" s="2">
        <v>80</v>
      </c>
      <c r="I123" s="2">
        <v>5</v>
      </c>
      <c r="J123" s="2">
        <v>1</v>
      </c>
      <c r="K123" s="2" t="str">
        <f t="shared" si="4"/>
        <v>2º Semestre</v>
      </c>
      <c r="L123" s="2" t="str">
        <f t="shared" si="5"/>
        <v>T3</v>
      </c>
      <c r="M123" s="2" t="str">
        <f t="shared" si="3"/>
        <v>jul</v>
      </c>
      <c r="N123" s="2">
        <v>7</v>
      </c>
    </row>
    <row r="124" spans="2:14" x14ac:dyDescent="0.3">
      <c r="B124" s="2">
        <v>123</v>
      </c>
      <c r="C124" s="4">
        <v>45842</v>
      </c>
      <c r="D124" s="3" t="s">
        <v>11</v>
      </c>
      <c r="E124" s="3" t="s">
        <v>17</v>
      </c>
      <c r="F124" s="3" t="s">
        <v>25</v>
      </c>
      <c r="G124" s="3" t="s">
        <v>33</v>
      </c>
      <c r="H124" s="2">
        <v>40</v>
      </c>
      <c r="I124" s="2">
        <v>4</v>
      </c>
      <c r="J124" s="2">
        <v>2</v>
      </c>
      <c r="K124" s="2" t="str">
        <f t="shared" si="4"/>
        <v>2º Semestre</v>
      </c>
      <c r="L124" s="2" t="str">
        <f t="shared" si="5"/>
        <v>T3</v>
      </c>
      <c r="M124" s="2" t="str">
        <f t="shared" si="3"/>
        <v>jul</v>
      </c>
      <c r="N124" s="2">
        <v>7</v>
      </c>
    </row>
    <row r="125" spans="2:14" x14ac:dyDescent="0.3">
      <c r="B125" s="2">
        <v>124</v>
      </c>
      <c r="C125" s="4">
        <v>45845</v>
      </c>
      <c r="D125" s="3" t="s">
        <v>12</v>
      </c>
      <c r="E125" s="3" t="s">
        <v>18</v>
      </c>
      <c r="F125" s="3" t="s">
        <v>26</v>
      </c>
      <c r="G125" s="3" t="s">
        <v>32</v>
      </c>
      <c r="H125" s="2">
        <v>15</v>
      </c>
      <c r="I125" s="2">
        <v>1</v>
      </c>
      <c r="J125" s="2">
        <v>1</v>
      </c>
      <c r="K125" s="2" t="str">
        <f t="shared" si="4"/>
        <v>2º Semestre</v>
      </c>
      <c r="L125" s="2" t="str">
        <f t="shared" si="5"/>
        <v>T3</v>
      </c>
      <c r="M125" s="2" t="str">
        <f t="shared" si="3"/>
        <v>jul</v>
      </c>
      <c r="N125" s="2">
        <v>7</v>
      </c>
    </row>
    <row r="126" spans="2:14" x14ac:dyDescent="0.3">
      <c r="B126" s="2">
        <v>125</v>
      </c>
      <c r="C126" s="4">
        <v>45846</v>
      </c>
      <c r="D126" s="3" t="s">
        <v>13</v>
      </c>
      <c r="E126" s="3" t="s">
        <v>19</v>
      </c>
      <c r="F126" s="3" t="s">
        <v>28</v>
      </c>
      <c r="G126" s="3" t="s">
        <v>34</v>
      </c>
      <c r="H126" s="2">
        <v>20</v>
      </c>
      <c r="I126" s="2">
        <v>7</v>
      </c>
      <c r="J126" s="2">
        <v>3</v>
      </c>
      <c r="K126" s="2" t="str">
        <f t="shared" si="4"/>
        <v>2º Semestre</v>
      </c>
      <c r="L126" s="2" t="str">
        <f t="shared" si="5"/>
        <v>T3</v>
      </c>
      <c r="M126" s="2" t="str">
        <f t="shared" si="3"/>
        <v>jul</v>
      </c>
      <c r="N126" s="2">
        <v>7</v>
      </c>
    </row>
    <row r="127" spans="2:14" x14ac:dyDescent="0.3">
      <c r="B127" s="2">
        <v>126</v>
      </c>
      <c r="C127" s="4">
        <v>45847</v>
      </c>
      <c r="D127" s="3" t="s">
        <v>9</v>
      </c>
      <c r="E127" s="3" t="s">
        <v>15</v>
      </c>
      <c r="F127" s="3" t="s">
        <v>23</v>
      </c>
      <c r="G127" s="3" t="s">
        <v>32</v>
      </c>
      <c r="H127" s="2">
        <v>110</v>
      </c>
      <c r="I127" s="2">
        <v>2</v>
      </c>
      <c r="J127" s="2">
        <v>1</v>
      </c>
      <c r="K127" s="2" t="str">
        <f t="shared" si="4"/>
        <v>2º Semestre</v>
      </c>
      <c r="L127" s="2" t="str">
        <f t="shared" si="5"/>
        <v>T3</v>
      </c>
      <c r="M127" s="2" t="str">
        <f t="shared" si="3"/>
        <v>jul</v>
      </c>
      <c r="N127" s="2">
        <v>7</v>
      </c>
    </row>
    <row r="128" spans="2:14" x14ac:dyDescent="0.3">
      <c r="B128" s="2">
        <v>127</v>
      </c>
      <c r="C128" s="4">
        <v>45848</v>
      </c>
      <c r="D128" s="3" t="s">
        <v>9</v>
      </c>
      <c r="E128" s="3" t="s">
        <v>21</v>
      </c>
      <c r="F128" s="3" t="s">
        <v>30</v>
      </c>
      <c r="G128" s="3" t="s">
        <v>33</v>
      </c>
      <c r="H128" s="2">
        <v>100</v>
      </c>
      <c r="I128" s="2">
        <v>2</v>
      </c>
      <c r="J128" s="2">
        <v>1</v>
      </c>
      <c r="K128" s="2" t="str">
        <f t="shared" si="4"/>
        <v>2º Semestre</v>
      </c>
      <c r="L128" s="2" t="str">
        <f t="shared" si="5"/>
        <v>T3</v>
      </c>
      <c r="M128" s="2" t="str">
        <f t="shared" si="3"/>
        <v>jul</v>
      </c>
      <c r="N128" s="2">
        <v>7</v>
      </c>
    </row>
    <row r="129" spans="2:14" x14ac:dyDescent="0.3">
      <c r="B129" s="2">
        <v>128</v>
      </c>
      <c r="C129" s="4">
        <v>45849</v>
      </c>
      <c r="D129" s="3" t="s">
        <v>12</v>
      </c>
      <c r="E129" s="3" t="s">
        <v>14</v>
      </c>
      <c r="F129" s="3" t="s">
        <v>27</v>
      </c>
      <c r="G129" s="3" t="s">
        <v>32</v>
      </c>
      <c r="H129" s="2">
        <v>15</v>
      </c>
      <c r="I129" s="2">
        <v>2</v>
      </c>
      <c r="J129" s="2">
        <v>1</v>
      </c>
      <c r="K129" s="2" t="str">
        <f t="shared" si="4"/>
        <v>2º Semestre</v>
      </c>
      <c r="L129" s="2" t="str">
        <f t="shared" si="5"/>
        <v>T3</v>
      </c>
      <c r="M129" s="2" t="str">
        <f t="shared" si="3"/>
        <v>jul</v>
      </c>
      <c r="N129" s="2">
        <v>7</v>
      </c>
    </row>
    <row r="130" spans="2:14" x14ac:dyDescent="0.3">
      <c r="B130" s="2">
        <v>129</v>
      </c>
      <c r="C130" s="4">
        <v>45852</v>
      </c>
      <c r="D130" s="3" t="s">
        <v>11</v>
      </c>
      <c r="E130" s="3" t="s">
        <v>16</v>
      </c>
      <c r="F130" s="3" t="s">
        <v>36</v>
      </c>
      <c r="G130" s="3" t="s">
        <v>34</v>
      </c>
      <c r="H130" s="2">
        <v>40</v>
      </c>
      <c r="I130" s="2">
        <v>5</v>
      </c>
      <c r="J130" s="2">
        <v>1</v>
      </c>
      <c r="K130" s="2" t="str">
        <f t="shared" si="4"/>
        <v>2º Semestre</v>
      </c>
      <c r="L130" s="2" t="str">
        <f t="shared" si="5"/>
        <v>T3</v>
      </c>
      <c r="M130" s="2" t="str">
        <f t="shared" ref="M130:M193" si="6">TEXT(C130,"MMM")</f>
        <v>jul</v>
      </c>
      <c r="N130" s="2">
        <v>7</v>
      </c>
    </row>
    <row r="131" spans="2:14" x14ac:dyDescent="0.3">
      <c r="B131" s="2">
        <v>130</v>
      </c>
      <c r="C131" s="4">
        <v>45853</v>
      </c>
      <c r="D131" s="3" t="s">
        <v>9</v>
      </c>
      <c r="E131" s="3" t="s">
        <v>37</v>
      </c>
      <c r="F131" s="3" t="s">
        <v>38</v>
      </c>
      <c r="G131" s="3" t="s">
        <v>33</v>
      </c>
      <c r="H131" s="2">
        <v>110</v>
      </c>
      <c r="I131" s="2">
        <v>3</v>
      </c>
      <c r="J131" s="2">
        <v>2</v>
      </c>
      <c r="K131" s="2" t="str">
        <f t="shared" ref="K131:K194" si="7">IF(MONTH(M131 &amp; " 1")&lt;=6, "1º Semestre", "2º Semestre")</f>
        <v>2º Semestre</v>
      </c>
      <c r="L131" s="2" t="str">
        <f t="shared" ref="L131:L194" si="8">"T"&amp;ROUNDUP(VALUE(N131)/3,0)</f>
        <v>T3</v>
      </c>
      <c r="M131" s="2" t="str">
        <f t="shared" si="6"/>
        <v>jul</v>
      </c>
      <c r="N131" s="2">
        <v>7</v>
      </c>
    </row>
    <row r="132" spans="2:14" x14ac:dyDescent="0.3">
      <c r="B132" s="2">
        <v>131</v>
      </c>
      <c r="C132" s="4">
        <v>45854</v>
      </c>
      <c r="D132" s="3" t="s">
        <v>10</v>
      </c>
      <c r="E132" s="3" t="s">
        <v>17</v>
      </c>
      <c r="F132" s="3" t="s">
        <v>39</v>
      </c>
      <c r="G132" s="3" t="s">
        <v>33</v>
      </c>
      <c r="H132" s="2">
        <v>87</v>
      </c>
      <c r="I132" s="2">
        <v>3</v>
      </c>
      <c r="J132" s="2">
        <v>2</v>
      </c>
      <c r="K132" s="2" t="str">
        <f t="shared" si="7"/>
        <v>2º Semestre</v>
      </c>
      <c r="L132" s="2" t="str">
        <f t="shared" si="8"/>
        <v>T3</v>
      </c>
      <c r="M132" s="2" t="str">
        <f t="shared" si="6"/>
        <v>jul</v>
      </c>
      <c r="N132" s="2">
        <v>7</v>
      </c>
    </row>
    <row r="133" spans="2:14" x14ac:dyDescent="0.3">
      <c r="B133" s="2">
        <v>132</v>
      </c>
      <c r="C133" s="4">
        <v>45855</v>
      </c>
      <c r="D133" s="3" t="s">
        <v>13</v>
      </c>
      <c r="E133" s="3" t="s">
        <v>15</v>
      </c>
      <c r="F133" s="3" t="s">
        <v>40</v>
      </c>
      <c r="G133" s="3" t="s">
        <v>32</v>
      </c>
      <c r="H133" s="2">
        <v>20</v>
      </c>
      <c r="I133" s="2">
        <v>5</v>
      </c>
      <c r="J133" s="2">
        <v>2</v>
      </c>
      <c r="K133" s="2" t="str">
        <f t="shared" si="7"/>
        <v>2º Semestre</v>
      </c>
      <c r="L133" s="2" t="str">
        <f t="shared" si="8"/>
        <v>T3</v>
      </c>
      <c r="M133" s="2" t="str">
        <f t="shared" si="6"/>
        <v>jul</v>
      </c>
      <c r="N133" s="2">
        <v>7</v>
      </c>
    </row>
    <row r="134" spans="2:14" x14ac:dyDescent="0.3">
      <c r="B134" s="2">
        <v>133</v>
      </c>
      <c r="C134" s="4">
        <v>45859</v>
      </c>
      <c r="D134" s="3" t="s">
        <v>9</v>
      </c>
      <c r="E134" s="3" t="s">
        <v>14</v>
      </c>
      <c r="F134" s="3" t="s">
        <v>22</v>
      </c>
      <c r="G134" s="3" t="s">
        <v>32</v>
      </c>
      <c r="H134" s="2">
        <v>110</v>
      </c>
      <c r="I134" s="2">
        <v>2</v>
      </c>
      <c r="J134" s="2">
        <v>1</v>
      </c>
      <c r="K134" s="2" t="str">
        <f t="shared" si="7"/>
        <v>2º Semestre</v>
      </c>
      <c r="L134" s="2" t="str">
        <f t="shared" si="8"/>
        <v>T3</v>
      </c>
      <c r="M134" s="2" t="str">
        <f t="shared" si="6"/>
        <v>jul</v>
      </c>
      <c r="N134" s="2">
        <v>7</v>
      </c>
    </row>
    <row r="135" spans="2:14" x14ac:dyDescent="0.3">
      <c r="B135" s="2">
        <v>134</v>
      </c>
      <c r="C135" s="4">
        <v>45860</v>
      </c>
      <c r="D135" s="3" t="s">
        <v>12</v>
      </c>
      <c r="E135" s="3" t="s">
        <v>18</v>
      </c>
      <c r="F135" s="3" t="s">
        <v>31</v>
      </c>
      <c r="G135" s="3" t="s">
        <v>32</v>
      </c>
      <c r="H135" s="2">
        <v>15</v>
      </c>
      <c r="I135" s="2">
        <v>1</v>
      </c>
      <c r="J135" s="2">
        <v>1</v>
      </c>
      <c r="K135" s="2" t="str">
        <f t="shared" si="7"/>
        <v>2º Semestre</v>
      </c>
      <c r="L135" s="2" t="str">
        <f t="shared" si="8"/>
        <v>T3</v>
      </c>
      <c r="M135" s="2" t="str">
        <f t="shared" si="6"/>
        <v>jul</v>
      </c>
      <c r="N135" s="2">
        <v>7</v>
      </c>
    </row>
    <row r="136" spans="2:14" x14ac:dyDescent="0.3">
      <c r="B136" s="2">
        <v>135</v>
      </c>
      <c r="C136" s="4">
        <v>45861</v>
      </c>
      <c r="D136" s="3" t="s">
        <v>10</v>
      </c>
      <c r="E136" s="3" t="s">
        <v>16</v>
      </c>
      <c r="F136" s="3" t="s">
        <v>24</v>
      </c>
      <c r="G136" s="3" t="s">
        <v>33</v>
      </c>
      <c r="H136" s="2">
        <v>87</v>
      </c>
      <c r="I136" s="2">
        <v>5</v>
      </c>
      <c r="J136" s="2">
        <v>1</v>
      </c>
      <c r="K136" s="2" t="str">
        <f t="shared" si="7"/>
        <v>2º Semestre</v>
      </c>
      <c r="L136" s="2" t="str">
        <f t="shared" si="8"/>
        <v>T3</v>
      </c>
      <c r="M136" s="2" t="str">
        <f t="shared" si="6"/>
        <v>jul</v>
      </c>
      <c r="N136" s="2">
        <v>7</v>
      </c>
    </row>
    <row r="137" spans="2:14" x14ac:dyDescent="0.3">
      <c r="B137" s="2">
        <v>136</v>
      </c>
      <c r="C137" s="4">
        <v>45862</v>
      </c>
      <c r="D137" s="3" t="s">
        <v>13</v>
      </c>
      <c r="E137" s="3" t="s">
        <v>19</v>
      </c>
      <c r="F137" s="3" t="s">
        <v>28</v>
      </c>
      <c r="G137" s="3" t="s">
        <v>34</v>
      </c>
      <c r="H137" s="2">
        <v>20</v>
      </c>
      <c r="I137" s="2">
        <v>8</v>
      </c>
      <c r="J137" s="2">
        <v>0</v>
      </c>
      <c r="K137" s="2" t="str">
        <f t="shared" si="7"/>
        <v>2º Semestre</v>
      </c>
      <c r="L137" s="2" t="str">
        <f t="shared" si="8"/>
        <v>T3</v>
      </c>
      <c r="M137" s="2" t="str">
        <f t="shared" si="6"/>
        <v>jul</v>
      </c>
      <c r="N137" s="2">
        <v>7</v>
      </c>
    </row>
    <row r="138" spans="2:14" x14ac:dyDescent="0.3">
      <c r="B138" s="2">
        <v>137</v>
      </c>
      <c r="C138" s="4">
        <v>45863</v>
      </c>
      <c r="D138" s="3" t="s">
        <v>9</v>
      </c>
      <c r="E138" s="3" t="s">
        <v>20</v>
      </c>
      <c r="F138" s="3" t="s">
        <v>29</v>
      </c>
      <c r="G138" s="3" t="s">
        <v>35</v>
      </c>
      <c r="H138" s="2">
        <v>109</v>
      </c>
      <c r="I138" s="2">
        <v>1</v>
      </c>
      <c r="J138" s="2">
        <v>1</v>
      </c>
      <c r="K138" s="2" t="str">
        <f t="shared" si="7"/>
        <v>2º Semestre</v>
      </c>
      <c r="L138" s="2" t="str">
        <f t="shared" si="8"/>
        <v>T3</v>
      </c>
      <c r="M138" s="2" t="str">
        <f t="shared" si="6"/>
        <v>jul</v>
      </c>
      <c r="N138" s="2">
        <v>7</v>
      </c>
    </row>
    <row r="139" spans="2:14" x14ac:dyDescent="0.3">
      <c r="B139" s="2">
        <v>138</v>
      </c>
      <c r="C139" s="4">
        <v>45866</v>
      </c>
      <c r="D139" s="3" t="s">
        <v>11</v>
      </c>
      <c r="E139" s="3" t="s">
        <v>17</v>
      </c>
      <c r="F139" s="3" t="s">
        <v>25</v>
      </c>
      <c r="G139" s="3" t="s">
        <v>33</v>
      </c>
      <c r="H139" s="2">
        <v>40</v>
      </c>
      <c r="I139" s="2">
        <v>4</v>
      </c>
      <c r="J139" s="2">
        <v>2</v>
      </c>
      <c r="K139" s="2" t="str">
        <f t="shared" si="7"/>
        <v>2º Semestre</v>
      </c>
      <c r="L139" s="2" t="str">
        <f t="shared" si="8"/>
        <v>T3</v>
      </c>
      <c r="M139" s="2" t="str">
        <f t="shared" si="6"/>
        <v>jul</v>
      </c>
      <c r="N139" s="2">
        <v>7</v>
      </c>
    </row>
    <row r="140" spans="2:14" x14ac:dyDescent="0.3">
      <c r="B140" s="2">
        <v>139</v>
      </c>
      <c r="C140" s="4">
        <v>45867</v>
      </c>
      <c r="D140" s="3" t="s">
        <v>9</v>
      </c>
      <c r="E140" s="3" t="s">
        <v>15</v>
      </c>
      <c r="F140" s="3" t="s">
        <v>23</v>
      </c>
      <c r="G140" s="3" t="s">
        <v>32</v>
      </c>
      <c r="H140" s="2">
        <v>109</v>
      </c>
      <c r="I140" s="2">
        <v>2</v>
      </c>
      <c r="J140" s="2">
        <v>1</v>
      </c>
      <c r="K140" s="2" t="str">
        <f t="shared" si="7"/>
        <v>2º Semestre</v>
      </c>
      <c r="L140" s="2" t="str">
        <f t="shared" si="8"/>
        <v>T3</v>
      </c>
      <c r="M140" s="2" t="str">
        <f t="shared" si="6"/>
        <v>jul</v>
      </c>
      <c r="N140" s="2">
        <v>7</v>
      </c>
    </row>
    <row r="141" spans="2:14" x14ac:dyDescent="0.3">
      <c r="B141" s="2">
        <v>140</v>
      </c>
      <c r="C141" s="4">
        <v>45868</v>
      </c>
      <c r="D141" s="3" t="s">
        <v>12</v>
      </c>
      <c r="E141" s="3" t="s">
        <v>14</v>
      </c>
      <c r="F141" s="3" t="s">
        <v>27</v>
      </c>
      <c r="G141" s="3" t="s">
        <v>32</v>
      </c>
      <c r="H141" s="2">
        <v>15</v>
      </c>
      <c r="I141" s="2">
        <v>2</v>
      </c>
      <c r="J141" s="2">
        <v>1</v>
      </c>
      <c r="K141" s="2" t="str">
        <f t="shared" si="7"/>
        <v>2º Semestre</v>
      </c>
      <c r="L141" s="2" t="str">
        <f t="shared" si="8"/>
        <v>T3</v>
      </c>
      <c r="M141" s="2" t="str">
        <f t="shared" si="6"/>
        <v>jul</v>
      </c>
      <c r="N141" s="2">
        <v>7</v>
      </c>
    </row>
    <row r="142" spans="2:14" x14ac:dyDescent="0.3">
      <c r="B142" s="2">
        <v>141</v>
      </c>
      <c r="C142" s="4">
        <v>45870</v>
      </c>
      <c r="D142" s="3" t="s">
        <v>13</v>
      </c>
      <c r="E142" s="3" t="s">
        <v>19</v>
      </c>
      <c r="F142" s="3" t="s">
        <v>28</v>
      </c>
      <c r="G142" s="3" t="s">
        <v>34</v>
      </c>
      <c r="H142" s="2">
        <v>20</v>
      </c>
      <c r="I142" s="2">
        <v>9</v>
      </c>
      <c r="J142" s="2">
        <v>2</v>
      </c>
      <c r="K142" s="2" t="str">
        <f t="shared" si="7"/>
        <v>2º Semestre</v>
      </c>
      <c r="L142" s="2" t="str">
        <f t="shared" si="8"/>
        <v>T3</v>
      </c>
      <c r="M142" s="2" t="str">
        <f t="shared" si="6"/>
        <v>ago</v>
      </c>
      <c r="N142" s="2">
        <v>8</v>
      </c>
    </row>
    <row r="143" spans="2:14" x14ac:dyDescent="0.3">
      <c r="B143" s="2">
        <v>142</v>
      </c>
      <c r="C143" s="4">
        <v>45873</v>
      </c>
      <c r="D143" s="3" t="s">
        <v>9</v>
      </c>
      <c r="E143" s="3" t="s">
        <v>14</v>
      </c>
      <c r="F143" s="3" t="s">
        <v>22</v>
      </c>
      <c r="G143" s="3" t="s">
        <v>32</v>
      </c>
      <c r="H143" s="2">
        <v>100</v>
      </c>
      <c r="I143" s="2">
        <v>2</v>
      </c>
      <c r="J143" s="2">
        <v>1</v>
      </c>
      <c r="K143" s="2" t="str">
        <f t="shared" si="7"/>
        <v>2º Semestre</v>
      </c>
      <c r="L143" s="2" t="str">
        <f t="shared" si="8"/>
        <v>T3</v>
      </c>
      <c r="M143" s="2" t="str">
        <f t="shared" si="6"/>
        <v>ago</v>
      </c>
      <c r="N143" s="2">
        <v>8</v>
      </c>
    </row>
    <row r="144" spans="2:14" x14ac:dyDescent="0.3">
      <c r="B144" s="2">
        <v>143</v>
      </c>
      <c r="C144" s="4">
        <v>45874</v>
      </c>
      <c r="D144" s="3" t="s">
        <v>10</v>
      </c>
      <c r="E144" s="3" t="s">
        <v>16</v>
      </c>
      <c r="F144" s="3" t="s">
        <v>24</v>
      </c>
      <c r="G144" s="3" t="s">
        <v>33</v>
      </c>
      <c r="H144" s="2">
        <v>83</v>
      </c>
      <c r="I144" s="2">
        <v>4</v>
      </c>
      <c r="J144" s="2">
        <v>1</v>
      </c>
      <c r="K144" s="2" t="str">
        <f t="shared" si="7"/>
        <v>2º Semestre</v>
      </c>
      <c r="L144" s="2" t="str">
        <f t="shared" si="8"/>
        <v>T3</v>
      </c>
      <c r="M144" s="2" t="str">
        <f t="shared" si="6"/>
        <v>ago</v>
      </c>
      <c r="N144" s="2">
        <v>8</v>
      </c>
    </row>
    <row r="145" spans="2:14" x14ac:dyDescent="0.3">
      <c r="B145" s="2">
        <v>144</v>
      </c>
      <c r="C145" s="4">
        <v>45875</v>
      </c>
      <c r="D145" s="3" t="s">
        <v>11</v>
      </c>
      <c r="E145" s="3" t="s">
        <v>17</v>
      </c>
      <c r="F145" s="3" t="s">
        <v>25</v>
      </c>
      <c r="G145" s="3" t="s">
        <v>33</v>
      </c>
      <c r="H145" s="2">
        <v>45</v>
      </c>
      <c r="I145" s="2">
        <v>4</v>
      </c>
      <c r="J145" s="2">
        <v>2</v>
      </c>
      <c r="K145" s="2" t="str">
        <f t="shared" si="7"/>
        <v>2º Semestre</v>
      </c>
      <c r="L145" s="2" t="str">
        <f t="shared" si="8"/>
        <v>T3</v>
      </c>
      <c r="M145" s="2" t="str">
        <f t="shared" si="6"/>
        <v>ago</v>
      </c>
      <c r="N145" s="2">
        <v>8</v>
      </c>
    </row>
    <row r="146" spans="2:14" x14ac:dyDescent="0.3">
      <c r="B146" s="2">
        <v>145</v>
      </c>
      <c r="C146" s="4">
        <v>45876</v>
      </c>
      <c r="D146" s="3" t="s">
        <v>13</v>
      </c>
      <c r="E146" s="3" t="s">
        <v>15</v>
      </c>
      <c r="F146" s="3" t="s">
        <v>40</v>
      </c>
      <c r="G146" s="3" t="s">
        <v>32</v>
      </c>
      <c r="H146" s="2">
        <v>20</v>
      </c>
      <c r="I146" s="2">
        <v>6</v>
      </c>
      <c r="J146" s="2">
        <v>3</v>
      </c>
      <c r="K146" s="2" t="str">
        <f t="shared" si="7"/>
        <v>2º Semestre</v>
      </c>
      <c r="L146" s="2" t="str">
        <f t="shared" si="8"/>
        <v>T3</v>
      </c>
      <c r="M146" s="2" t="str">
        <f t="shared" si="6"/>
        <v>ago</v>
      </c>
      <c r="N146" s="2">
        <v>8</v>
      </c>
    </row>
    <row r="147" spans="2:14" x14ac:dyDescent="0.3">
      <c r="B147" s="2">
        <v>146</v>
      </c>
      <c r="C147" s="4">
        <v>45877</v>
      </c>
      <c r="D147" s="3" t="s">
        <v>9</v>
      </c>
      <c r="E147" s="3" t="s">
        <v>21</v>
      </c>
      <c r="F147" s="3" t="s">
        <v>30</v>
      </c>
      <c r="G147" s="3" t="s">
        <v>33</v>
      </c>
      <c r="H147" s="2">
        <v>100</v>
      </c>
      <c r="I147" s="2">
        <v>2</v>
      </c>
      <c r="J147" s="2">
        <v>1</v>
      </c>
      <c r="K147" s="2" t="str">
        <f t="shared" si="7"/>
        <v>2º Semestre</v>
      </c>
      <c r="L147" s="2" t="str">
        <f t="shared" si="8"/>
        <v>T3</v>
      </c>
      <c r="M147" s="2" t="str">
        <f t="shared" si="6"/>
        <v>ago</v>
      </c>
      <c r="N147" s="2">
        <v>8</v>
      </c>
    </row>
    <row r="148" spans="2:14" x14ac:dyDescent="0.3">
      <c r="B148" s="2">
        <v>147</v>
      </c>
      <c r="C148" s="4">
        <v>45880</v>
      </c>
      <c r="D148" s="3" t="s">
        <v>12</v>
      </c>
      <c r="E148" s="3" t="s">
        <v>18</v>
      </c>
      <c r="F148" s="3" t="s">
        <v>26</v>
      </c>
      <c r="G148" s="3" t="s">
        <v>32</v>
      </c>
      <c r="H148" s="2">
        <v>20</v>
      </c>
      <c r="I148" s="2">
        <v>1</v>
      </c>
      <c r="J148" s="2">
        <v>1</v>
      </c>
      <c r="K148" s="2" t="str">
        <f t="shared" si="7"/>
        <v>2º Semestre</v>
      </c>
      <c r="L148" s="2" t="str">
        <f t="shared" si="8"/>
        <v>T3</v>
      </c>
      <c r="M148" s="2" t="str">
        <f t="shared" si="6"/>
        <v>ago</v>
      </c>
      <c r="N148" s="2">
        <v>8</v>
      </c>
    </row>
    <row r="149" spans="2:14" x14ac:dyDescent="0.3">
      <c r="B149" s="2">
        <v>148</v>
      </c>
      <c r="C149" s="4">
        <v>45881</v>
      </c>
      <c r="D149" s="3" t="s">
        <v>13</v>
      </c>
      <c r="E149" s="3" t="s">
        <v>19</v>
      </c>
      <c r="F149" s="3" t="s">
        <v>28</v>
      </c>
      <c r="G149" s="3" t="s">
        <v>34</v>
      </c>
      <c r="H149" s="2">
        <v>20</v>
      </c>
      <c r="I149" s="2">
        <v>10</v>
      </c>
      <c r="J149" s="2">
        <v>7</v>
      </c>
      <c r="K149" s="2" t="str">
        <f t="shared" si="7"/>
        <v>2º Semestre</v>
      </c>
      <c r="L149" s="2" t="str">
        <f t="shared" si="8"/>
        <v>T3</v>
      </c>
      <c r="M149" s="2" t="str">
        <f t="shared" si="6"/>
        <v>ago</v>
      </c>
      <c r="N149" s="2">
        <v>8</v>
      </c>
    </row>
    <row r="150" spans="2:14" x14ac:dyDescent="0.3">
      <c r="B150" s="2">
        <v>149</v>
      </c>
      <c r="C150" s="4">
        <v>45882</v>
      </c>
      <c r="D150" s="3" t="s">
        <v>9</v>
      </c>
      <c r="E150" s="3" t="s">
        <v>37</v>
      </c>
      <c r="F150" s="3" t="s">
        <v>38</v>
      </c>
      <c r="G150" s="3" t="s">
        <v>33</v>
      </c>
      <c r="H150" s="2">
        <v>100</v>
      </c>
      <c r="I150" s="2">
        <v>3</v>
      </c>
      <c r="J150" s="2">
        <v>2</v>
      </c>
      <c r="K150" s="2" t="str">
        <f t="shared" si="7"/>
        <v>2º Semestre</v>
      </c>
      <c r="L150" s="2" t="str">
        <f t="shared" si="8"/>
        <v>T3</v>
      </c>
      <c r="M150" s="2" t="str">
        <f t="shared" si="6"/>
        <v>ago</v>
      </c>
      <c r="N150" s="2">
        <v>8</v>
      </c>
    </row>
    <row r="151" spans="2:14" x14ac:dyDescent="0.3">
      <c r="B151" s="2">
        <v>150</v>
      </c>
      <c r="C151" s="4">
        <v>45883</v>
      </c>
      <c r="D151" s="3" t="s">
        <v>10</v>
      </c>
      <c r="E151" s="3" t="s">
        <v>17</v>
      </c>
      <c r="F151" s="3" t="s">
        <v>39</v>
      </c>
      <c r="G151" s="3" t="s">
        <v>33</v>
      </c>
      <c r="H151" s="2">
        <v>70</v>
      </c>
      <c r="I151" s="2">
        <v>3</v>
      </c>
      <c r="J151" s="2">
        <v>2</v>
      </c>
      <c r="K151" s="2" t="str">
        <f t="shared" si="7"/>
        <v>2º Semestre</v>
      </c>
      <c r="L151" s="2" t="str">
        <f t="shared" si="8"/>
        <v>T3</v>
      </c>
      <c r="M151" s="2" t="str">
        <f t="shared" si="6"/>
        <v>ago</v>
      </c>
      <c r="N151" s="2">
        <v>8</v>
      </c>
    </row>
    <row r="152" spans="2:14" x14ac:dyDescent="0.3">
      <c r="B152" s="2">
        <v>151</v>
      </c>
      <c r="C152" s="4">
        <v>45884</v>
      </c>
      <c r="D152" s="3" t="s">
        <v>9</v>
      </c>
      <c r="E152" s="3" t="s">
        <v>20</v>
      </c>
      <c r="F152" s="3" t="s">
        <v>29</v>
      </c>
      <c r="G152" s="3" t="s">
        <v>35</v>
      </c>
      <c r="H152" s="2">
        <v>120</v>
      </c>
      <c r="I152" s="2">
        <v>1</v>
      </c>
      <c r="J152" s="2">
        <v>1</v>
      </c>
      <c r="K152" s="2" t="str">
        <f t="shared" si="7"/>
        <v>2º Semestre</v>
      </c>
      <c r="L152" s="2" t="str">
        <f t="shared" si="8"/>
        <v>T3</v>
      </c>
      <c r="M152" s="2" t="str">
        <f t="shared" si="6"/>
        <v>ago</v>
      </c>
      <c r="N152" s="2">
        <v>8</v>
      </c>
    </row>
    <row r="153" spans="2:14" x14ac:dyDescent="0.3">
      <c r="B153" s="2">
        <v>152</v>
      </c>
      <c r="C153" s="4">
        <v>45887</v>
      </c>
      <c r="D153" s="3" t="s">
        <v>11</v>
      </c>
      <c r="E153" s="3" t="s">
        <v>16</v>
      </c>
      <c r="F153" s="3" t="s">
        <v>36</v>
      </c>
      <c r="G153" s="3" t="s">
        <v>34</v>
      </c>
      <c r="H153" s="2">
        <v>45</v>
      </c>
      <c r="I153" s="2">
        <v>5</v>
      </c>
      <c r="J153" s="2">
        <v>1</v>
      </c>
      <c r="K153" s="2" t="str">
        <f t="shared" si="7"/>
        <v>2º Semestre</v>
      </c>
      <c r="L153" s="2" t="str">
        <f t="shared" si="8"/>
        <v>T3</v>
      </c>
      <c r="M153" s="2" t="str">
        <f t="shared" si="6"/>
        <v>ago</v>
      </c>
      <c r="N153" s="2">
        <v>8</v>
      </c>
    </row>
    <row r="154" spans="2:14" x14ac:dyDescent="0.3">
      <c r="B154" s="2">
        <v>153</v>
      </c>
      <c r="C154" s="4">
        <v>45888</v>
      </c>
      <c r="D154" s="3" t="s">
        <v>12</v>
      </c>
      <c r="E154" s="3" t="s">
        <v>14</v>
      </c>
      <c r="F154" s="3" t="s">
        <v>27</v>
      </c>
      <c r="G154" s="3" t="s">
        <v>32</v>
      </c>
      <c r="H154" s="2">
        <v>20</v>
      </c>
      <c r="I154" s="2">
        <v>2</v>
      </c>
      <c r="J154" s="2">
        <v>1</v>
      </c>
      <c r="K154" s="2" t="str">
        <f t="shared" si="7"/>
        <v>2º Semestre</v>
      </c>
      <c r="L154" s="2" t="str">
        <f t="shared" si="8"/>
        <v>T3</v>
      </c>
      <c r="M154" s="2" t="str">
        <f t="shared" si="6"/>
        <v>ago</v>
      </c>
      <c r="N154" s="2">
        <v>8</v>
      </c>
    </row>
    <row r="155" spans="2:14" x14ac:dyDescent="0.3">
      <c r="B155" s="2">
        <v>154</v>
      </c>
      <c r="C155" s="4">
        <v>45889</v>
      </c>
      <c r="D155" s="3" t="s">
        <v>9</v>
      </c>
      <c r="E155" s="3" t="s">
        <v>15</v>
      </c>
      <c r="F155" s="3" t="s">
        <v>23</v>
      </c>
      <c r="G155" s="3" t="s">
        <v>32</v>
      </c>
      <c r="H155" s="2">
        <v>110</v>
      </c>
      <c r="I155" s="2">
        <v>2</v>
      </c>
      <c r="J155" s="2">
        <v>1</v>
      </c>
      <c r="K155" s="2" t="str">
        <f t="shared" si="7"/>
        <v>2º Semestre</v>
      </c>
      <c r="L155" s="2" t="str">
        <f t="shared" si="8"/>
        <v>T3</v>
      </c>
      <c r="M155" s="2" t="str">
        <f t="shared" si="6"/>
        <v>ago</v>
      </c>
      <c r="N155" s="2">
        <v>8</v>
      </c>
    </row>
    <row r="156" spans="2:14" x14ac:dyDescent="0.3">
      <c r="B156" s="2">
        <v>155</v>
      </c>
      <c r="C156" s="4">
        <v>45890</v>
      </c>
      <c r="D156" s="3" t="s">
        <v>13</v>
      </c>
      <c r="E156" s="3" t="s">
        <v>19</v>
      </c>
      <c r="F156" s="3" t="s">
        <v>28</v>
      </c>
      <c r="G156" s="3" t="s">
        <v>34</v>
      </c>
      <c r="H156" s="2">
        <v>20</v>
      </c>
      <c r="I156" s="2">
        <v>9</v>
      </c>
      <c r="J156" s="2">
        <v>0</v>
      </c>
      <c r="K156" s="2" t="str">
        <f t="shared" si="7"/>
        <v>2º Semestre</v>
      </c>
      <c r="L156" s="2" t="str">
        <f t="shared" si="8"/>
        <v>T3</v>
      </c>
      <c r="M156" s="2" t="str">
        <f t="shared" si="6"/>
        <v>ago</v>
      </c>
      <c r="N156" s="2">
        <v>8</v>
      </c>
    </row>
    <row r="157" spans="2:14" x14ac:dyDescent="0.3">
      <c r="B157" s="2">
        <v>156</v>
      </c>
      <c r="C157" s="4">
        <v>45891</v>
      </c>
      <c r="D157" s="3" t="s">
        <v>9</v>
      </c>
      <c r="E157" s="3" t="s">
        <v>14</v>
      </c>
      <c r="F157" s="3" t="s">
        <v>22</v>
      </c>
      <c r="G157" s="3" t="s">
        <v>32</v>
      </c>
      <c r="H157" s="2">
        <v>110</v>
      </c>
      <c r="I157" s="2">
        <v>2</v>
      </c>
      <c r="J157" s="2">
        <v>1</v>
      </c>
      <c r="K157" s="2" t="str">
        <f t="shared" si="7"/>
        <v>2º Semestre</v>
      </c>
      <c r="L157" s="2" t="str">
        <f t="shared" si="8"/>
        <v>T3</v>
      </c>
      <c r="M157" s="2" t="str">
        <f t="shared" si="6"/>
        <v>ago</v>
      </c>
      <c r="N157" s="2">
        <v>8</v>
      </c>
    </row>
    <row r="158" spans="2:14" x14ac:dyDescent="0.3">
      <c r="B158" s="2">
        <v>157</v>
      </c>
      <c r="C158" s="4">
        <v>45894</v>
      </c>
      <c r="D158" s="3" t="s">
        <v>10</v>
      </c>
      <c r="E158" s="3" t="s">
        <v>16</v>
      </c>
      <c r="F158" s="3" t="s">
        <v>24</v>
      </c>
      <c r="G158" s="3" t="s">
        <v>33</v>
      </c>
      <c r="H158" s="2">
        <v>88</v>
      </c>
      <c r="I158" s="2">
        <v>4</v>
      </c>
      <c r="J158" s="2">
        <v>1</v>
      </c>
      <c r="K158" s="2" t="str">
        <f t="shared" si="7"/>
        <v>2º Semestre</v>
      </c>
      <c r="L158" s="2" t="str">
        <f t="shared" si="8"/>
        <v>T3</v>
      </c>
      <c r="M158" s="2" t="str">
        <f t="shared" si="6"/>
        <v>ago</v>
      </c>
      <c r="N158" s="2">
        <v>8</v>
      </c>
    </row>
    <row r="159" spans="2:14" x14ac:dyDescent="0.3">
      <c r="B159" s="2">
        <v>158</v>
      </c>
      <c r="C159" s="4">
        <v>45895</v>
      </c>
      <c r="D159" s="3" t="s">
        <v>11</v>
      </c>
      <c r="E159" s="3" t="s">
        <v>17</v>
      </c>
      <c r="F159" s="3" t="s">
        <v>25</v>
      </c>
      <c r="G159" s="3" t="s">
        <v>33</v>
      </c>
      <c r="H159" s="2">
        <v>42</v>
      </c>
      <c r="I159" s="2">
        <v>3</v>
      </c>
      <c r="J159" s="2">
        <v>2</v>
      </c>
      <c r="K159" s="2" t="str">
        <f t="shared" si="7"/>
        <v>2º Semestre</v>
      </c>
      <c r="L159" s="2" t="str">
        <f t="shared" si="8"/>
        <v>T3</v>
      </c>
      <c r="M159" s="2" t="str">
        <f t="shared" si="6"/>
        <v>ago</v>
      </c>
      <c r="N159" s="2">
        <v>8</v>
      </c>
    </row>
    <row r="160" spans="2:14" x14ac:dyDescent="0.3">
      <c r="B160" s="2">
        <v>159</v>
      </c>
      <c r="C160" s="4">
        <v>45896</v>
      </c>
      <c r="D160" s="3" t="s">
        <v>13</v>
      </c>
      <c r="E160" s="3" t="s">
        <v>15</v>
      </c>
      <c r="F160" s="3" t="s">
        <v>40</v>
      </c>
      <c r="G160" s="3" t="s">
        <v>32</v>
      </c>
      <c r="H160" s="2">
        <v>20</v>
      </c>
      <c r="I160" s="2">
        <v>5</v>
      </c>
      <c r="J160" s="2">
        <v>2</v>
      </c>
      <c r="K160" s="2" t="str">
        <f t="shared" si="7"/>
        <v>2º Semestre</v>
      </c>
      <c r="L160" s="2" t="str">
        <f t="shared" si="8"/>
        <v>T3</v>
      </c>
      <c r="M160" s="2" t="str">
        <f t="shared" si="6"/>
        <v>ago</v>
      </c>
      <c r="N160" s="2">
        <v>8</v>
      </c>
    </row>
    <row r="161" spans="2:14" x14ac:dyDescent="0.3">
      <c r="B161" s="2">
        <v>160</v>
      </c>
      <c r="C161" s="4">
        <v>45898</v>
      </c>
      <c r="D161" s="3" t="s">
        <v>9</v>
      </c>
      <c r="E161" s="3" t="s">
        <v>21</v>
      </c>
      <c r="F161" s="3" t="s">
        <v>30</v>
      </c>
      <c r="G161" s="3" t="s">
        <v>33</v>
      </c>
      <c r="H161" s="2">
        <v>110</v>
      </c>
      <c r="I161" s="2">
        <v>2</v>
      </c>
      <c r="J161" s="2">
        <v>1</v>
      </c>
      <c r="K161" s="2" t="str">
        <f t="shared" si="7"/>
        <v>2º Semestre</v>
      </c>
      <c r="L161" s="2" t="str">
        <f t="shared" si="8"/>
        <v>T3</v>
      </c>
      <c r="M161" s="2" t="str">
        <f t="shared" si="6"/>
        <v>ago</v>
      </c>
      <c r="N161" s="2">
        <v>8</v>
      </c>
    </row>
    <row r="162" spans="2:14" x14ac:dyDescent="0.3">
      <c r="B162" s="2">
        <v>161</v>
      </c>
      <c r="C162" s="4">
        <v>45901</v>
      </c>
      <c r="D162" s="3" t="s">
        <v>9</v>
      </c>
      <c r="E162" s="3" t="s">
        <v>14</v>
      </c>
      <c r="F162" s="3" t="s">
        <v>22</v>
      </c>
      <c r="G162" s="3" t="s">
        <v>32</v>
      </c>
      <c r="H162" s="2">
        <v>120</v>
      </c>
      <c r="I162" s="2">
        <v>2</v>
      </c>
      <c r="J162" s="2">
        <v>1</v>
      </c>
      <c r="K162" s="2" t="str">
        <f t="shared" si="7"/>
        <v>2º Semestre</v>
      </c>
      <c r="L162" s="2" t="str">
        <f t="shared" si="8"/>
        <v>T3</v>
      </c>
      <c r="M162" s="2" t="str">
        <f t="shared" si="6"/>
        <v>set</v>
      </c>
      <c r="N162" s="2">
        <v>9</v>
      </c>
    </row>
    <row r="163" spans="2:14" x14ac:dyDescent="0.3">
      <c r="B163" s="2">
        <v>162</v>
      </c>
      <c r="C163" s="4">
        <v>45902</v>
      </c>
      <c r="D163" s="3" t="s">
        <v>10</v>
      </c>
      <c r="E163" s="3" t="s">
        <v>16</v>
      </c>
      <c r="F163" s="3" t="s">
        <v>24</v>
      </c>
      <c r="G163" s="3" t="s">
        <v>33</v>
      </c>
      <c r="H163" s="2">
        <v>83</v>
      </c>
      <c r="I163" s="2">
        <v>4</v>
      </c>
      <c r="J163" s="2">
        <v>1</v>
      </c>
      <c r="K163" s="2" t="str">
        <f t="shared" si="7"/>
        <v>2º Semestre</v>
      </c>
      <c r="L163" s="2" t="str">
        <f t="shared" si="8"/>
        <v>T3</v>
      </c>
      <c r="M163" s="2" t="str">
        <f t="shared" si="6"/>
        <v>set</v>
      </c>
      <c r="N163" s="2">
        <v>9</v>
      </c>
    </row>
    <row r="164" spans="2:14" x14ac:dyDescent="0.3">
      <c r="B164" s="2">
        <v>163</v>
      </c>
      <c r="C164" s="4">
        <v>45903</v>
      </c>
      <c r="D164" s="3" t="s">
        <v>11</v>
      </c>
      <c r="E164" s="3" t="s">
        <v>17</v>
      </c>
      <c r="F164" s="3" t="s">
        <v>25</v>
      </c>
      <c r="G164" s="3" t="s">
        <v>33</v>
      </c>
      <c r="H164" s="2">
        <v>45</v>
      </c>
      <c r="I164" s="2">
        <v>3</v>
      </c>
      <c r="J164" s="2">
        <v>2</v>
      </c>
      <c r="K164" s="2" t="str">
        <f t="shared" si="7"/>
        <v>2º Semestre</v>
      </c>
      <c r="L164" s="2" t="str">
        <f t="shared" si="8"/>
        <v>T3</v>
      </c>
      <c r="M164" s="2" t="str">
        <f t="shared" si="6"/>
        <v>set</v>
      </c>
      <c r="N164" s="2">
        <v>9</v>
      </c>
    </row>
    <row r="165" spans="2:14" x14ac:dyDescent="0.3">
      <c r="B165" s="2">
        <v>164</v>
      </c>
      <c r="C165" s="4">
        <v>45904</v>
      </c>
      <c r="D165" s="3" t="s">
        <v>12</v>
      </c>
      <c r="E165" s="3" t="s">
        <v>18</v>
      </c>
      <c r="F165" s="3" t="s">
        <v>26</v>
      </c>
      <c r="G165" s="3" t="s">
        <v>32</v>
      </c>
      <c r="H165" s="2">
        <v>20</v>
      </c>
      <c r="I165" s="2">
        <v>1</v>
      </c>
      <c r="J165" s="2">
        <v>1</v>
      </c>
      <c r="K165" s="2" t="str">
        <f t="shared" si="7"/>
        <v>2º Semestre</v>
      </c>
      <c r="L165" s="2" t="str">
        <f t="shared" si="8"/>
        <v>T3</v>
      </c>
      <c r="M165" s="2" t="str">
        <f t="shared" si="6"/>
        <v>set</v>
      </c>
      <c r="N165" s="2">
        <v>9</v>
      </c>
    </row>
    <row r="166" spans="2:14" x14ac:dyDescent="0.3">
      <c r="B166" s="2">
        <v>165</v>
      </c>
      <c r="C166" s="4">
        <v>45905</v>
      </c>
      <c r="D166" s="3" t="s">
        <v>13</v>
      </c>
      <c r="E166" s="3" t="s">
        <v>19</v>
      </c>
      <c r="F166" s="3" t="s">
        <v>28</v>
      </c>
      <c r="G166" s="3" t="s">
        <v>34</v>
      </c>
      <c r="H166" s="2">
        <v>15</v>
      </c>
      <c r="I166" s="2">
        <v>8</v>
      </c>
      <c r="J166" s="2">
        <v>2</v>
      </c>
      <c r="K166" s="2" t="str">
        <f t="shared" si="7"/>
        <v>2º Semestre</v>
      </c>
      <c r="L166" s="2" t="str">
        <f t="shared" si="8"/>
        <v>T3</v>
      </c>
      <c r="M166" s="2" t="str">
        <f t="shared" si="6"/>
        <v>set</v>
      </c>
      <c r="N166" s="2">
        <v>9</v>
      </c>
    </row>
    <row r="167" spans="2:14" x14ac:dyDescent="0.3">
      <c r="B167" s="2">
        <v>166</v>
      </c>
      <c r="C167" s="4">
        <v>45908</v>
      </c>
      <c r="D167" s="3" t="s">
        <v>9</v>
      </c>
      <c r="E167" s="3" t="s">
        <v>15</v>
      </c>
      <c r="F167" s="3" t="s">
        <v>23</v>
      </c>
      <c r="G167" s="3" t="s">
        <v>32</v>
      </c>
      <c r="H167" s="2">
        <v>109</v>
      </c>
      <c r="I167" s="2">
        <v>2</v>
      </c>
      <c r="J167" s="2">
        <v>1</v>
      </c>
      <c r="K167" s="2" t="str">
        <f t="shared" si="7"/>
        <v>2º Semestre</v>
      </c>
      <c r="L167" s="2" t="str">
        <f t="shared" si="8"/>
        <v>T3</v>
      </c>
      <c r="M167" s="2" t="str">
        <f t="shared" si="6"/>
        <v>set</v>
      </c>
      <c r="N167" s="2">
        <v>9</v>
      </c>
    </row>
    <row r="168" spans="2:14" x14ac:dyDescent="0.3">
      <c r="B168" s="2">
        <v>167</v>
      </c>
      <c r="C168" s="4">
        <v>45909</v>
      </c>
      <c r="D168" s="3" t="s">
        <v>9</v>
      </c>
      <c r="E168" s="3" t="s">
        <v>37</v>
      </c>
      <c r="F168" s="3" t="s">
        <v>38</v>
      </c>
      <c r="G168" s="3" t="s">
        <v>33</v>
      </c>
      <c r="H168" s="2">
        <v>109</v>
      </c>
      <c r="I168" s="2">
        <v>3</v>
      </c>
      <c r="J168" s="2">
        <v>2</v>
      </c>
      <c r="K168" s="2" t="str">
        <f t="shared" si="7"/>
        <v>2º Semestre</v>
      </c>
      <c r="L168" s="2" t="str">
        <f t="shared" si="8"/>
        <v>T3</v>
      </c>
      <c r="M168" s="2" t="str">
        <f t="shared" si="6"/>
        <v>set</v>
      </c>
      <c r="N168" s="2">
        <v>9</v>
      </c>
    </row>
    <row r="169" spans="2:14" x14ac:dyDescent="0.3">
      <c r="B169" s="2">
        <v>168</v>
      </c>
      <c r="C169" s="4">
        <v>45910</v>
      </c>
      <c r="D169" s="3" t="s">
        <v>12</v>
      </c>
      <c r="E169" s="3" t="s">
        <v>14</v>
      </c>
      <c r="F169" s="3" t="s">
        <v>27</v>
      </c>
      <c r="G169" s="3" t="s">
        <v>32</v>
      </c>
      <c r="H169" s="2">
        <v>20</v>
      </c>
      <c r="I169" s="2">
        <v>2</v>
      </c>
      <c r="J169" s="2">
        <v>1</v>
      </c>
      <c r="K169" s="2" t="str">
        <f t="shared" si="7"/>
        <v>2º Semestre</v>
      </c>
      <c r="L169" s="2" t="str">
        <f t="shared" si="8"/>
        <v>T3</v>
      </c>
      <c r="M169" s="2" t="str">
        <f t="shared" si="6"/>
        <v>set</v>
      </c>
      <c r="N169" s="2">
        <v>9</v>
      </c>
    </row>
    <row r="170" spans="2:14" x14ac:dyDescent="0.3">
      <c r="B170" s="2">
        <v>169</v>
      </c>
      <c r="C170" s="4">
        <v>45911</v>
      </c>
      <c r="D170" s="3" t="s">
        <v>11</v>
      </c>
      <c r="E170" s="3" t="s">
        <v>16</v>
      </c>
      <c r="F170" s="3" t="s">
        <v>36</v>
      </c>
      <c r="G170" s="3" t="s">
        <v>34</v>
      </c>
      <c r="H170" s="2">
        <v>42</v>
      </c>
      <c r="I170" s="2">
        <v>4</v>
      </c>
      <c r="J170" s="2">
        <v>1</v>
      </c>
      <c r="K170" s="2" t="str">
        <f t="shared" si="7"/>
        <v>2º Semestre</v>
      </c>
      <c r="L170" s="2" t="str">
        <f t="shared" si="8"/>
        <v>T3</v>
      </c>
      <c r="M170" s="2" t="str">
        <f t="shared" si="6"/>
        <v>set</v>
      </c>
      <c r="N170" s="2">
        <v>9</v>
      </c>
    </row>
    <row r="171" spans="2:14" x14ac:dyDescent="0.3">
      <c r="B171" s="2">
        <v>170</v>
      </c>
      <c r="C171" s="4">
        <v>45912</v>
      </c>
      <c r="D171" s="3" t="s">
        <v>13</v>
      </c>
      <c r="E171" s="3" t="s">
        <v>15</v>
      </c>
      <c r="F171" s="3" t="s">
        <v>40</v>
      </c>
      <c r="G171" s="3" t="s">
        <v>32</v>
      </c>
      <c r="H171" s="2">
        <v>15</v>
      </c>
      <c r="I171" s="2">
        <v>5</v>
      </c>
      <c r="J171" s="2">
        <v>5</v>
      </c>
      <c r="K171" s="2" t="str">
        <f t="shared" si="7"/>
        <v>2º Semestre</v>
      </c>
      <c r="L171" s="2" t="str">
        <f t="shared" si="8"/>
        <v>T3</v>
      </c>
      <c r="M171" s="2" t="str">
        <f t="shared" si="6"/>
        <v>set</v>
      </c>
      <c r="N171" s="2">
        <v>9</v>
      </c>
    </row>
    <row r="172" spans="2:14" x14ac:dyDescent="0.3">
      <c r="B172" s="2">
        <v>171</v>
      </c>
      <c r="C172" s="4">
        <v>45915</v>
      </c>
      <c r="D172" s="3" t="s">
        <v>10</v>
      </c>
      <c r="E172" s="3" t="s">
        <v>17</v>
      </c>
      <c r="F172" s="3" t="s">
        <v>39</v>
      </c>
      <c r="G172" s="3" t="s">
        <v>33</v>
      </c>
      <c r="H172" s="2">
        <v>84</v>
      </c>
      <c r="I172" s="2">
        <v>3</v>
      </c>
      <c r="J172" s="2">
        <v>2</v>
      </c>
      <c r="K172" s="2" t="str">
        <f t="shared" si="7"/>
        <v>2º Semestre</v>
      </c>
      <c r="L172" s="2" t="str">
        <f t="shared" si="8"/>
        <v>T3</v>
      </c>
      <c r="M172" s="2" t="str">
        <f t="shared" si="6"/>
        <v>set</v>
      </c>
      <c r="N172" s="2">
        <v>9</v>
      </c>
    </row>
    <row r="173" spans="2:14" x14ac:dyDescent="0.3">
      <c r="B173" s="2">
        <v>172</v>
      </c>
      <c r="C173" s="4">
        <v>45916</v>
      </c>
      <c r="D173" s="3" t="s">
        <v>9</v>
      </c>
      <c r="E173" s="3" t="s">
        <v>21</v>
      </c>
      <c r="F173" s="3" t="s">
        <v>30</v>
      </c>
      <c r="G173" s="3" t="s">
        <v>33</v>
      </c>
      <c r="H173" s="2">
        <v>110</v>
      </c>
      <c r="I173" s="2">
        <v>2</v>
      </c>
      <c r="J173" s="2">
        <v>1</v>
      </c>
      <c r="K173" s="2" t="str">
        <f t="shared" si="7"/>
        <v>2º Semestre</v>
      </c>
      <c r="L173" s="2" t="str">
        <f t="shared" si="8"/>
        <v>T3</v>
      </c>
      <c r="M173" s="2" t="str">
        <f t="shared" si="6"/>
        <v>set</v>
      </c>
      <c r="N173" s="2">
        <v>9</v>
      </c>
    </row>
    <row r="174" spans="2:14" x14ac:dyDescent="0.3">
      <c r="B174" s="2">
        <v>173</v>
      </c>
      <c r="C174" s="4">
        <v>45917</v>
      </c>
      <c r="D174" s="3" t="s">
        <v>13</v>
      </c>
      <c r="E174" s="3" t="s">
        <v>19</v>
      </c>
      <c r="F174" s="3" t="s">
        <v>28</v>
      </c>
      <c r="G174" s="3" t="s">
        <v>34</v>
      </c>
      <c r="H174" s="2">
        <v>15</v>
      </c>
      <c r="I174" s="2">
        <v>7</v>
      </c>
      <c r="J174" s="2">
        <v>0</v>
      </c>
      <c r="K174" s="2" t="str">
        <f t="shared" si="7"/>
        <v>2º Semestre</v>
      </c>
      <c r="L174" s="2" t="str">
        <f t="shared" si="8"/>
        <v>T3</v>
      </c>
      <c r="M174" s="2" t="str">
        <f t="shared" si="6"/>
        <v>set</v>
      </c>
      <c r="N174" s="2">
        <v>9</v>
      </c>
    </row>
    <row r="175" spans="2:14" x14ac:dyDescent="0.3">
      <c r="B175" s="2">
        <v>174</v>
      </c>
      <c r="C175" s="4">
        <v>45918</v>
      </c>
      <c r="D175" s="3" t="s">
        <v>9</v>
      </c>
      <c r="E175" s="3" t="s">
        <v>14</v>
      </c>
      <c r="F175" s="3" t="s">
        <v>22</v>
      </c>
      <c r="G175" s="3" t="s">
        <v>32</v>
      </c>
      <c r="H175" s="2">
        <v>110</v>
      </c>
      <c r="I175" s="2">
        <v>2</v>
      </c>
      <c r="J175" s="2">
        <v>1</v>
      </c>
      <c r="K175" s="2" t="str">
        <f t="shared" si="7"/>
        <v>2º Semestre</v>
      </c>
      <c r="L175" s="2" t="str">
        <f t="shared" si="8"/>
        <v>T3</v>
      </c>
      <c r="M175" s="2" t="str">
        <f t="shared" si="6"/>
        <v>set</v>
      </c>
      <c r="N175" s="2">
        <v>9</v>
      </c>
    </row>
    <row r="176" spans="2:14" x14ac:dyDescent="0.3">
      <c r="B176" s="2">
        <v>175</v>
      </c>
      <c r="C176" s="4">
        <v>45919</v>
      </c>
      <c r="D176" s="3" t="s">
        <v>12</v>
      </c>
      <c r="E176" s="3" t="s">
        <v>18</v>
      </c>
      <c r="F176" s="3" t="s">
        <v>31</v>
      </c>
      <c r="G176" s="3" t="s">
        <v>32</v>
      </c>
      <c r="H176" s="2">
        <v>26</v>
      </c>
      <c r="I176" s="2">
        <v>1</v>
      </c>
      <c r="J176" s="2">
        <v>1</v>
      </c>
      <c r="K176" s="2" t="str">
        <f t="shared" si="7"/>
        <v>2º Semestre</v>
      </c>
      <c r="L176" s="2" t="str">
        <f t="shared" si="8"/>
        <v>T3</v>
      </c>
      <c r="M176" s="2" t="str">
        <f t="shared" si="6"/>
        <v>set</v>
      </c>
      <c r="N176" s="2">
        <v>9</v>
      </c>
    </row>
    <row r="177" spans="2:14" x14ac:dyDescent="0.3">
      <c r="B177" s="2">
        <v>176</v>
      </c>
      <c r="C177" s="4">
        <v>45922</v>
      </c>
      <c r="D177" s="3" t="s">
        <v>9</v>
      </c>
      <c r="E177" s="3" t="s">
        <v>20</v>
      </c>
      <c r="F177" s="3" t="s">
        <v>29</v>
      </c>
      <c r="G177" s="3" t="s">
        <v>35</v>
      </c>
      <c r="H177" s="2">
        <v>109</v>
      </c>
      <c r="I177" s="2">
        <v>1</v>
      </c>
      <c r="J177" s="2">
        <v>1</v>
      </c>
      <c r="K177" s="2" t="str">
        <f t="shared" si="7"/>
        <v>2º Semestre</v>
      </c>
      <c r="L177" s="2" t="str">
        <f t="shared" si="8"/>
        <v>T3</v>
      </c>
      <c r="M177" s="2" t="str">
        <f t="shared" si="6"/>
        <v>set</v>
      </c>
      <c r="N177" s="2">
        <v>9</v>
      </c>
    </row>
    <row r="178" spans="2:14" x14ac:dyDescent="0.3">
      <c r="B178" s="2">
        <v>177</v>
      </c>
      <c r="C178" s="4">
        <v>45923</v>
      </c>
      <c r="D178" s="3" t="s">
        <v>10</v>
      </c>
      <c r="E178" s="3" t="s">
        <v>16</v>
      </c>
      <c r="F178" s="3" t="s">
        <v>24</v>
      </c>
      <c r="G178" s="3" t="s">
        <v>33</v>
      </c>
      <c r="H178" s="2">
        <v>84</v>
      </c>
      <c r="I178" s="2">
        <v>4</v>
      </c>
      <c r="J178" s="2">
        <v>1</v>
      </c>
      <c r="K178" s="2" t="str">
        <f t="shared" si="7"/>
        <v>2º Semestre</v>
      </c>
      <c r="L178" s="2" t="str">
        <f t="shared" si="8"/>
        <v>T3</v>
      </c>
      <c r="M178" s="2" t="str">
        <f t="shared" si="6"/>
        <v>set</v>
      </c>
      <c r="N178" s="2">
        <v>9</v>
      </c>
    </row>
    <row r="179" spans="2:14" x14ac:dyDescent="0.3">
      <c r="B179" s="2">
        <v>178</v>
      </c>
      <c r="C179" s="4">
        <v>45924</v>
      </c>
      <c r="D179" s="3" t="s">
        <v>11</v>
      </c>
      <c r="E179" s="3" t="s">
        <v>17</v>
      </c>
      <c r="F179" s="3" t="s">
        <v>25</v>
      </c>
      <c r="G179" s="3" t="s">
        <v>33</v>
      </c>
      <c r="H179" s="2">
        <v>42</v>
      </c>
      <c r="I179" s="2">
        <v>3</v>
      </c>
      <c r="J179" s="2">
        <v>2</v>
      </c>
      <c r="K179" s="2" t="str">
        <f t="shared" si="7"/>
        <v>2º Semestre</v>
      </c>
      <c r="L179" s="2" t="str">
        <f t="shared" si="8"/>
        <v>T3</v>
      </c>
      <c r="M179" s="2" t="str">
        <f t="shared" si="6"/>
        <v>set</v>
      </c>
      <c r="N179" s="2">
        <v>9</v>
      </c>
    </row>
    <row r="180" spans="2:14" x14ac:dyDescent="0.3">
      <c r="B180" s="2">
        <v>179</v>
      </c>
      <c r="C180" s="4">
        <v>45925</v>
      </c>
      <c r="D180" s="3" t="s">
        <v>13</v>
      </c>
      <c r="E180" s="3" t="s">
        <v>19</v>
      </c>
      <c r="F180" s="3" t="s">
        <v>28</v>
      </c>
      <c r="G180" s="3" t="s">
        <v>34</v>
      </c>
      <c r="H180" s="2">
        <v>15</v>
      </c>
      <c r="I180" s="2">
        <v>8</v>
      </c>
      <c r="J180" s="2">
        <v>4</v>
      </c>
      <c r="K180" s="2" t="str">
        <f t="shared" si="7"/>
        <v>2º Semestre</v>
      </c>
      <c r="L180" s="2" t="str">
        <f t="shared" si="8"/>
        <v>T3</v>
      </c>
      <c r="M180" s="2" t="str">
        <f t="shared" si="6"/>
        <v>set</v>
      </c>
      <c r="N180" s="2">
        <v>9</v>
      </c>
    </row>
    <row r="181" spans="2:14" x14ac:dyDescent="0.3">
      <c r="B181" s="2">
        <v>180</v>
      </c>
      <c r="C181" s="4">
        <v>45929</v>
      </c>
      <c r="D181" s="3" t="s">
        <v>9</v>
      </c>
      <c r="E181" s="3" t="s">
        <v>15</v>
      </c>
      <c r="F181" s="3" t="s">
        <v>23</v>
      </c>
      <c r="G181" s="3" t="s">
        <v>32</v>
      </c>
      <c r="H181" s="2">
        <v>109</v>
      </c>
      <c r="I181" s="2">
        <v>2</v>
      </c>
      <c r="J181" s="2">
        <v>1</v>
      </c>
      <c r="K181" s="2" t="str">
        <f t="shared" si="7"/>
        <v>2º Semestre</v>
      </c>
      <c r="L181" s="2" t="str">
        <f t="shared" si="8"/>
        <v>T3</v>
      </c>
      <c r="M181" s="2" t="str">
        <f t="shared" si="6"/>
        <v>set</v>
      </c>
      <c r="N181" s="2">
        <v>9</v>
      </c>
    </row>
    <row r="182" spans="2:14" x14ac:dyDescent="0.3">
      <c r="B182" s="2">
        <v>181</v>
      </c>
      <c r="C182" s="4">
        <v>45932</v>
      </c>
      <c r="D182" s="3" t="s">
        <v>9</v>
      </c>
      <c r="E182" s="3" t="s">
        <v>14</v>
      </c>
      <c r="F182" s="3" t="s">
        <v>22</v>
      </c>
      <c r="G182" s="3" t="s">
        <v>32</v>
      </c>
      <c r="H182" s="2">
        <v>120</v>
      </c>
      <c r="I182" s="2">
        <v>2</v>
      </c>
      <c r="J182" s="2">
        <v>1</v>
      </c>
      <c r="K182" s="2" t="str">
        <f t="shared" si="7"/>
        <v>2º Semestre</v>
      </c>
      <c r="L182" s="2" t="str">
        <f t="shared" si="8"/>
        <v>T4</v>
      </c>
      <c r="M182" s="2" t="str">
        <f t="shared" si="6"/>
        <v>out</v>
      </c>
      <c r="N182" s="2">
        <v>10</v>
      </c>
    </row>
    <row r="183" spans="2:14" x14ac:dyDescent="0.3">
      <c r="B183" s="2">
        <v>182</v>
      </c>
      <c r="C183" s="4">
        <v>45933</v>
      </c>
      <c r="D183" s="3" t="s">
        <v>10</v>
      </c>
      <c r="E183" s="3" t="s">
        <v>16</v>
      </c>
      <c r="F183" s="3" t="s">
        <v>24</v>
      </c>
      <c r="G183" s="3" t="s">
        <v>33</v>
      </c>
      <c r="H183" s="2">
        <v>87</v>
      </c>
      <c r="I183" s="2">
        <v>4</v>
      </c>
      <c r="J183" s="2">
        <v>1</v>
      </c>
      <c r="K183" s="2" t="str">
        <f t="shared" si="7"/>
        <v>2º Semestre</v>
      </c>
      <c r="L183" s="2" t="str">
        <f t="shared" si="8"/>
        <v>T4</v>
      </c>
      <c r="M183" s="2" t="str">
        <f t="shared" si="6"/>
        <v>out</v>
      </c>
      <c r="N183" s="2">
        <v>10</v>
      </c>
    </row>
    <row r="184" spans="2:14" x14ac:dyDescent="0.3">
      <c r="B184" s="2">
        <v>183</v>
      </c>
      <c r="C184" s="4">
        <v>45936</v>
      </c>
      <c r="D184" s="3" t="s">
        <v>11</v>
      </c>
      <c r="E184" s="3" t="s">
        <v>17</v>
      </c>
      <c r="F184" s="3" t="s">
        <v>25</v>
      </c>
      <c r="G184" s="3" t="s">
        <v>33</v>
      </c>
      <c r="H184" s="2">
        <v>42</v>
      </c>
      <c r="I184" s="2">
        <v>3</v>
      </c>
      <c r="J184" s="2">
        <v>2</v>
      </c>
      <c r="K184" s="2" t="str">
        <f t="shared" si="7"/>
        <v>2º Semestre</v>
      </c>
      <c r="L184" s="2" t="str">
        <f t="shared" si="8"/>
        <v>T4</v>
      </c>
      <c r="M184" s="2" t="str">
        <f t="shared" si="6"/>
        <v>out</v>
      </c>
      <c r="N184" s="2">
        <v>10</v>
      </c>
    </row>
    <row r="185" spans="2:14" x14ac:dyDescent="0.3">
      <c r="B185" s="2">
        <v>184</v>
      </c>
      <c r="C185" s="4">
        <v>45937</v>
      </c>
      <c r="D185" s="3" t="s">
        <v>12</v>
      </c>
      <c r="E185" s="3" t="s">
        <v>18</v>
      </c>
      <c r="F185" s="3" t="s">
        <v>26</v>
      </c>
      <c r="G185" s="3" t="s">
        <v>32</v>
      </c>
      <c r="H185" s="2">
        <v>26</v>
      </c>
      <c r="I185" s="2">
        <v>1</v>
      </c>
      <c r="J185" s="2">
        <v>1</v>
      </c>
      <c r="K185" s="2" t="str">
        <f t="shared" si="7"/>
        <v>2º Semestre</v>
      </c>
      <c r="L185" s="2" t="str">
        <f t="shared" si="8"/>
        <v>T4</v>
      </c>
      <c r="M185" s="2" t="str">
        <f t="shared" si="6"/>
        <v>out</v>
      </c>
      <c r="N185" s="2">
        <v>10</v>
      </c>
    </row>
    <row r="186" spans="2:14" x14ac:dyDescent="0.3">
      <c r="B186" s="2">
        <v>185</v>
      </c>
      <c r="C186" s="4">
        <v>45938</v>
      </c>
      <c r="D186" s="3" t="s">
        <v>13</v>
      </c>
      <c r="E186" s="3" t="s">
        <v>19</v>
      </c>
      <c r="F186" s="3" t="s">
        <v>28</v>
      </c>
      <c r="G186" s="3" t="s">
        <v>34</v>
      </c>
      <c r="H186" s="2">
        <v>15</v>
      </c>
      <c r="I186" s="2">
        <v>7</v>
      </c>
      <c r="J186" s="2">
        <v>0</v>
      </c>
      <c r="K186" s="2" t="str">
        <f t="shared" si="7"/>
        <v>2º Semestre</v>
      </c>
      <c r="L186" s="2" t="str">
        <f t="shared" si="8"/>
        <v>T4</v>
      </c>
      <c r="M186" s="2" t="str">
        <f t="shared" si="6"/>
        <v>out</v>
      </c>
      <c r="N186" s="2">
        <v>10</v>
      </c>
    </row>
    <row r="187" spans="2:14" x14ac:dyDescent="0.3">
      <c r="B187" s="2">
        <v>186</v>
      </c>
      <c r="C187" s="4">
        <v>45939</v>
      </c>
      <c r="D187" s="3" t="s">
        <v>9</v>
      </c>
      <c r="E187" s="3" t="s">
        <v>15</v>
      </c>
      <c r="F187" s="3" t="s">
        <v>23</v>
      </c>
      <c r="G187" s="3" t="s">
        <v>32</v>
      </c>
      <c r="H187" s="2">
        <v>120</v>
      </c>
      <c r="I187" s="2">
        <v>2</v>
      </c>
      <c r="J187" s="2">
        <v>1</v>
      </c>
      <c r="K187" s="2" t="str">
        <f t="shared" si="7"/>
        <v>2º Semestre</v>
      </c>
      <c r="L187" s="2" t="str">
        <f t="shared" si="8"/>
        <v>T4</v>
      </c>
      <c r="M187" s="2" t="str">
        <f t="shared" si="6"/>
        <v>out</v>
      </c>
      <c r="N187" s="2">
        <v>10</v>
      </c>
    </row>
    <row r="188" spans="2:14" x14ac:dyDescent="0.3">
      <c r="B188" s="2">
        <v>187</v>
      </c>
      <c r="C188" s="4">
        <v>45940</v>
      </c>
      <c r="D188" s="3" t="s">
        <v>9</v>
      </c>
      <c r="E188" s="3" t="s">
        <v>21</v>
      </c>
      <c r="F188" s="3" t="s">
        <v>30</v>
      </c>
      <c r="G188" s="3" t="s">
        <v>33</v>
      </c>
      <c r="H188" s="2">
        <v>120</v>
      </c>
      <c r="I188" s="2">
        <v>2</v>
      </c>
      <c r="J188" s="2">
        <v>1</v>
      </c>
      <c r="K188" s="2" t="str">
        <f t="shared" si="7"/>
        <v>2º Semestre</v>
      </c>
      <c r="L188" s="2" t="str">
        <f t="shared" si="8"/>
        <v>T4</v>
      </c>
      <c r="M188" s="2" t="str">
        <f t="shared" si="6"/>
        <v>out</v>
      </c>
      <c r="N188" s="2">
        <v>10</v>
      </c>
    </row>
    <row r="189" spans="2:14" x14ac:dyDescent="0.3">
      <c r="B189" s="2">
        <v>188</v>
      </c>
      <c r="C189" s="4">
        <v>45943</v>
      </c>
      <c r="D189" s="3" t="s">
        <v>12</v>
      </c>
      <c r="E189" s="3" t="s">
        <v>14</v>
      </c>
      <c r="F189" s="3" t="s">
        <v>27</v>
      </c>
      <c r="G189" s="3" t="s">
        <v>32</v>
      </c>
      <c r="H189" s="2">
        <v>20</v>
      </c>
      <c r="I189" s="2">
        <v>2</v>
      </c>
      <c r="J189" s="2">
        <v>1</v>
      </c>
      <c r="K189" s="2" t="str">
        <f t="shared" si="7"/>
        <v>2º Semestre</v>
      </c>
      <c r="L189" s="2" t="str">
        <f t="shared" si="8"/>
        <v>T4</v>
      </c>
      <c r="M189" s="2" t="str">
        <f t="shared" si="6"/>
        <v>out</v>
      </c>
      <c r="N189" s="2">
        <v>10</v>
      </c>
    </row>
    <row r="190" spans="2:14" x14ac:dyDescent="0.3">
      <c r="B190" s="2">
        <v>189</v>
      </c>
      <c r="C190" s="4">
        <v>45944</v>
      </c>
      <c r="D190" s="3" t="s">
        <v>11</v>
      </c>
      <c r="E190" s="3" t="s">
        <v>16</v>
      </c>
      <c r="F190" s="3" t="s">
        <v>36</v>
      </c>
      <c r="G190" s="3" t="s">
        <v>34</v>
      </c>
      <c r="H190" s="2">
        <v>42</v>
      </c>
      <c r="I190" s="2">
        <v>4</v>
      </c>
      <c r="J190" s="2">
        <v>1</v>
      </c>
      <c r="K190" s="2" t="str">
        <f t="shared" si="7"/>
        <v>2º Semestre</v>
      </c>
      <c r="L190" s="2" t="str">
        <f t="shared" si="8"/>
        <v>T4</v>
      </c>
      <c r="M190" s="2" t="str">
        <f t="shared" si="6"/>
        <v>out</v>
      </c>
      <c r="N190" s="2">
        <v>10</v>
      </c>
    </row>
    <row r="191" spans="2:14" x14ac:dyDescent="0.3">
      <c r="B191" s="2">
        <v>190</v>
      </c>
      <c r="C191" s="4">
        <v>45945</v>
      </c>
      <c r="D191" s="3" t="s">
        <v>9</v>
      </c>
      <c r="E191" s="3" t="s">
        <v>37</v>
      </c>
      <c r="F191" s="3" t="s">
        <v>38</v>
      </c>
      <c r="G191" s="3" t="s">
        <v>33</v>
      </c>
      <c r="H191" s="2">
        <v>120</v>
      </c>
      <c r="I191" s="2">
        <v>3</v>
      </c>
      <c r="J191" s="2">
        <v>2</v>
      </c>
      <c r="K191" s="2" t="str">
        <f t="shared" si="7"/>
        <v>2º Semestre</v>
      </c>
      <c r="L191" s="2" t="str">
        <f t="shared" si="8"/>
        <v>T4</v>
      </c>
      <c r="M191" s="2" t="str">
        <f t="shared" si="6"/>
        <v>out</v>
      </c>
      <c r="N191" s="2">
        <v>10</v>
      </c>
    </row>
    <row r="192" spans="2:14" x14ac:dyDescent="0.3">
      <c r="B192" s="2">
        <v>191</v>
      </c>
      <c r="C192" s="4">
        <v>45946</v>
      </c>
      <c r="D192" s="3" t="s">
        <v>10</v>
      </c>
      <c r="E192" s="3" t="s">
        <v>17</v>
      </c>
      <c r="F192" s="3" t="s">
        <v>39</v>
      </c>
      <c r="G192" s="3" t="s">
        <v>33</v>
      </c>
      <c r="H192" s="2">
        <v>86</v>
      </c>
      <c r="I192" s="2">
        <v>3</v>
      </c>
      <c r="J192" s="2">
        <v>2</v>
      </c>
      <c r="K192" s="2" t="str">
        <f t="shared" si="7"/>
        <v>2º Semestre</v>
      </c>
      <c r="L192" s="2" t="str">
        <f t="shared" si="8"/>
        <v>T4</v>
      </c>
      <c r="M192" s="2" t="str">
        <f t="shared" si="6"/>
        <v>out</v>
      </c>
      <c r="N192" s="2">
        <v>10</v>
      </c>
    </row>
    <row r="193" spans="2:14" x14ac:dyDescent="0.3">
      <c r="B193" s="2">
        <v>192</v>
      </c>
      <c r="C193" s="4">
        <v>45947</v>
      </c>
      <c r="D193" s="3" t="s">
        <v>13</v>
      </c>
      <c r="E193" s="3" t="s">
        <v>15</v>
      </c>
      <c r="F193" s="3" t="s">
        <v>40</v>
      </c>
      <c r="G193" s="3" t="s">
        <v>32</v>
      </c>
      <c r="H193" s="2">
        <v>15</v>
      </c>
      <c r="I193" s="2">
        <v>4</v>
      </c>
      <c r="J193" s="2">
        <v>2</v>
      </c>
      <c r="K193" s="2" t="str">
        <f t="shared" si="7"/>
        <v>2º Semestre</v>
      </c>
      <c r="L193" s="2" t="str">
        <f t="shared" si="8"/>
        <v>T4</v>
      </c>
      <c r="M193" s="2" t="str">
        <f t="shared" si="6"/>
        <v>out</v>
      </c>
      <c r="N193" s="2">
        <v>10</v>
      </c>
    </row>
    <row r="194" spans="2:14" x14ac:dyDescent="0.3">
      <c r="B194" s="2">
        <v>193</v>
      </c>
      <c r="C194" s="4">
        <v>45950</v>
      </c>
      <c r="D194" s="3" t="s">
        <v>9</v>
      </c>
      <c r="E194" s="3" t="s">
        <v>14</v>
      </c>
      <c r="F194" s="3" t="s">
        <v>22</v>
      </c>
      <c r="G194" s="3" t="s">
        <v>32</v>
      </c>
      <c r="H194" s="2">
        <v>100</v>
      </c>
      <c r="I194" s="2">
        <v>2</v>
      </c>
      <c r="J194" s="2">
        <v>1</v>
      </c>
      <c r="K194" s="2" t="str">
        <f t="shared" si="7"/>
        <v>2º Semestre</v>
      </c>
      <c r="L194" s="2" t="str">
        <f t="shared" si="8"/>
        <v>T4</v>
      </c>
      <c r="M194" s="2" t="str">
        <f t="shared" ref="M194:M241" si="9">TEXT(C194,"MMM")</f>
        <v>out</v>
      </c>
      <c r="N194" s="2">
        <v>10</v>
      </c>
    </row>
    <row r="195" spans="2:14" x14ac:dyDescent="0.3">
      <c r="B195" s="2">
        <v>194</v>
      </c>
      <c r="C195" s="4">
        <v>45951</v>
      </c>
      <c r="D195" s="3" t="s">
        <v>12</v>
      </c>
      <c r="E195" s="3" t="s">
        <v>18</v>
      </c>
      <c r="F195" s="3" t="s">
        <v>31</v>
      </c>
      <c r="G195" s="3" t="s">
        <v>32</v>
      </c>
      <c r="H195" s="2">
        <v>30</v>
      </c>
      <c r="I195" s="2">
        <v>1</v>
      </c>
      <c r="J195" s="2">
        <v>1</v>
      </c>
      <c r="K195" s="2" t="str">
        <f t="shared" ref="K195:K241" si="10">IF(MONTH(M195 &amp; " 1")&lt;=6, "1º Semestre", "2º Semestre")</f>
        <v>2º Semestre</v>
      </c>
      <c r="L195" s="2" t="str">
        <f t="shared" ref="L195" si="11">"T"&amp;ROUNDUP(VALUE(N195)/3,0)</f>
        <v>T4</v>
      </c>
      <c r="M195" s="2" t="str">
        <f t="shared" si="9"/>
        <v>out</v>
      </c>
      <c r="N195" s="2">
        <v>10</v>
      </c>
    </row>
    <row r="196" spans="2:14" x14ac:dyDescent="0.3">
      <c r="B196" s="2">
        <v>195</v>
      </c>
      <c r="C196" s="4">
        <v>45952</v>
      </c>
      <c r="D196" s="3" t="s">
        <v>10</v>
      </c>
      <c r="E196" s="3" t="s">
        <v>16</v>
      </c>
      <c r="F196" s="3" t="s">
        <v>24</v>
      </c>
      <c r="G196" s="3" t="s">
        <v>33</v>
      </c>
      <c r="H196" s="2">
        <v>85</v>
      </c>
      <c r="I196" s="2">
        <v>4</v>
      </c>
      <c r="J196" s="2">
        <v>1</v>
      </c>
      <c r="K196" s="2" t="str">
        <f t="shared" si="10"/>
        <v>2º Semestre</v>
      </c>
      <c r="L196" s="2" t="str">
        <f>"T"&amp;ROUNDUP(VALUE(N196)/3,0)</f>
        <v>T4</v>
      </c>
      <c r="M196" s="2" t="str">
        <f t="shared" si="9"/>
        <v>out</v>
      </c>
      <c r="N196" s="2">
        <v>10</v>
      </c>
    </row>
    <row r="197" spans="2:14" x14ac:dyDescent="0.3">
      <c r="B197" s="2">
        <v>196</v>
      </c>
      <c r="C197" s="4">
        <v>45953</v>
      </c>
      <c r="D197" s="3" t="s">
        <v>13</v>
      </c>
      <c r="E197" s="3" t="s">
        <v>19</v>
      </c>
      <c r="F197" s="3" t="s">
        <v>28</v>
      </c>
      <c r="G197" s="3" t="s">
        <v>34</v>
      </c>
      <c r="H197" s="2">
        <v>15</v>
      </c>
      <c r="I197" s="2">
        <v>7</v>
      </c>
      <c r="J197" s="2">
        <v>4</v>
      </c>
      <c r="K197" s="2" t="str">
        <f t="shared" si="10"/>
        <v>2º Semestre</v>
      </c>
      <c r="L197" s="2" t="str">
        <f t="shared" ref="L197:L241" si="12">"T"&amp;ROUNDUP(VALUE(N197)/3,0)</f>
        <v>T4</v>
      </c>
      <c r="M197" s="2" t="str">
        <f t="shared" si="9"/>
        <v>out</v>
      </c>
      <c r="N197" s="2">
        <v>10</v>
      </c>
    </row>
    <row r="198" spans="2:14" x14ac:dyDescent="0.3">
      <c r="B198" s="2">
        <v>197</v>
      </c>
      <c r="C198" s="4">
        <v>45954</v>
      </c>
      <c r="D198" s="3" t="s">
        <v>9</v>
      </c>
      <c r="E198" s="3" t="s">
        <v>20</v>
      </c>
      <c r="F198" s="3" t="s">
        <v>29</v>
      </c>
      <c r="G198" s="3" t="s">
        <v>35</v>
      </c>
      <c r="H198" s="2">
        <v>110</v>
      </c>
      <c r="I198" s="2">
        <v>1</v>
      </c>
      <c r="J198" s="2">
        <v>1</v>
      </c>
      <c r="K198" s="2" t="str">
        <f t="shared" si="10"/>
        <v>2º Semestre</v>
      </c>
      <c r="L198" s="2" t="str">
        <f t="shared" si="12"/>
        <v>T4</v>
      </c>
      <c r="M198" s="2" t="str">
        <f t="shared" si="9"/>
        <v>out</v>
      </c>
      <c r="N198" s="2">
        <v>10</v>
      </c>
    </row>
    <row r="199" spans="2:14" x14ac:dyDescent="0.3">
      <c r="B199" s="2">
        <v>198</v>
      </c>
      <c r="C199" s="4">
        <v>45957</v>
      </c>
      <c r="D199" s="3" t="s">
        <v>11</v>
      </c>
      <c r="E199" s="3" t="s">
        <v>17</v>
      </c>
      <c r="F199" s="3" t="s">
        <v>25</v>
      </c>
      <c r="G199" s="3" t="s">
        <v>33</v>
      </c>
      <c r="H199" s="2">
        <v>30</v>
      </c>
      <c r="I199" s="2">
        <v>3</v>
      </c>
      <c r="J199" s="2">
        <v>2</v>
      </c>
      <c r="K199" s="2" t="str">
        <f t="shared" si="10"/>
        <v>2º Semestre</v>
      </c>
      <c r="L199" s="2" t="str">
        <f t="shared" si="12"/>
        <v>T4</v>
      </c>
      <c r="M199" s="2" t="str">
        <f t="shared" si="9"/>
        <v>out</v>
      </c>
      <c r="N199" s="2">
        <v>10</v>
      </c>
    </row>
    <row r="200" spans="2:14" x14ac:dyDescent="0.3">
      <c r="B200" s="2">
        <v>199</v>
      </c>
      <c r="C200" s="4">
        <v>45958</v>
      </c>
      <c r="D200" s="3" t="s">
        <v>9</v>
      </c>
      <c r="E200" s="3" t="s">
        <v>15</v>
      </c>
      <c r="F200" s="3" t="s">
        <v>23</v>
      </c>
      <c r="G200" s="3" t="s">
        <v>32</v>
      </c>
      <c r="H200" s="2">
        <v>110</v>
      </c>
      <c r="I200" s="2">
        <v>2</v>
      </c>
      <c r="J200" s="2">
        <v>1</v>
      </c>
      <c r="K200" s="2" t="str">
        <f t="shared" si="10"/>
        <v>2º Semestre</v>
      </c>
      <c r="L200" s="2" t="str">
        <f t="shared" si="12"/>
        <v>T4</v>
      </c>
      <c r="M200" s="2" t="str">
        <f t="shared" si="9"/>
        <v>out</v>
      </c>
      <c r="N200" s="2">
        <v>10</v>
      </c>
    </row>
    <row r="201" spans="2:14" x14ac:dyDescent="0.3">
      <c r="B201" s="2">
        <v>200</v>
      </c>
      <c r="C201" s="4">
        <v>45960</v>
      </c>
      <c r="D201" s="3" t="s">
        <v>12</v>
      </c>
      <c r="E201" s="3" t="s">
        <v>14</v>
      </c>
      <c r="F201" s="3" t="s">
        <v>27</v>
      </c>
      <c r="G201" s="3" t="s">
        <v>32</v>
      </c>
      <c r="H201" s="2">
        <v>30</v>
      </c>
      <c r="I201" s="2">
        <v>2</v>
      </c>
      <c r="J201" s="2">
        <v>1</v>
      </c>
      <c r="K201" s="2" t="str">
        <f t="shared" si="10"/>
        <v>2º Semestre</v>
      </c>
      <c r="L201" s="2" t="str">
        <f t="shared" si="12"/>
        <v>T4</v>
      </c>
      <c r="M201" s="2" t="str">
        <f t="shared" si="9"/>
        <v>out</v>
      </c>
      <c r="N201" s="2">
        <v>10</v>
      </c>
    </row>
    <row r="202" spans="2:14" x14ac:dyDescent="0.3">
      <c r="B202" s="2">
        <v>201</v>
      </c>
      <c r="C202" s="4">
        <v>45964</v>
      </c>
      <c r="D202" s="3" t="s">
        <v>9</v>
      </c>
      <c r="E202" s="3" t="s">
        <v>14</v>
      </c>
      <c r="F202" s="3" t="s">
        <v>22</v>
      </c>
      <c r="G202" s="3" t="s">
        <v>32</v>
      </c>
      <c r="H202" s="2">
        <v>110</v>
      </c>
      <c r="I202" s="2">
        <v>1</v>
      </c>
      <c r="J202" s="2">
        <v>1</v>
      </c>
      <c r="K202" s="2" t="str">
        <f t="shared" si="10"/>
        <v>2º Semestre</v>
      </c>
      <c r="L202" s="2" t="str">
        <f t="shared" si="12"/>
        <v>T4</v>
      </c>
      <c r="M202" s="2" t="str">
        <f t="shared" si="9"/>
        <v>nov</v>
      </c>
      <c r="N202" s="2">
        <v>11</v>
      </c>
    </row>
    <row r="203" spans="2:14" x14ac:dyDescent="0.3">
      <c r="B203" s="2">
        <v>202</v>
      </c>
      <c r="C203" s="4">
        <v>45965</v>
      </c>
      <c r="D203" s="3" t="s">
        <v>10</v>
      </c>
      <c r="E203" s="3" t="s">
        <v>16</v>
      </c>
      <c r="F203" s="3" t="s">
        <v>24</v>
      </c>
      <c r="G203" s="3" t="s">
        <v>33</v>
      </c>
      <c r="H203" s="2">
        <v>85</v>
      </c>
      <c r="I203" s="2">
        <v>3</v>
      </c>
      <c r="J203" s="2">
        <v>1</v>
      </c>
      <c r="K203" s="2" t="str">
        <f t="shared" si="10"/>
        <v>2º Semestre</v>
      </c>
      <c r="L203" s="2" t="str">
        <f t="shared" si="12"/>
        <v>T4</v>
      </c>
      <c r="M203" s="2" t="str">
        <f t="shared" si="9"/>
        <v>nov</v>
      </c>
      <c r="N203" s="2">
        <v>11</v>
      </c>
    </row>
    <row r="204" spans="2:14" x14ac:dyDescent="0.3">
      <c r="B204" s="2">
        <v>203</v>
      </c>
      <c r="C204" s="4">
        <v>45966</v>
      </c>
      <c r="D204" s="3" t="s">
        <v>11</v>
      </c>
      <c r="E204" s="3" t="s">
        <v>17</v>
      </c>
      <c r="F204" s="3" t="s">
        <v>25</v>
      </c>
      <c r="G204" s="3" t="s">
        <v>33</v>
      </c>
      <c r="H204" s="2">
        <v>42</v>
      </c>
      <c r="I204" s="2">
        <v>3</v>
      </c>
      <c r="J204" s="2">
        <v>2</v>
      </c>
      <c r="K204" s="2" t="str">
        <f t="shared" si="10"/>
        <v>2º Semestre</v>
      </c>
      <c r="L204" s="2" t="str">
        <f t="shared" si="12"/>
        <v>T4</v>
      </c>
      <c r="M204" s="2" t="str">
        <f t="shared" si="9"/>
        <v>nov</v>
      </c>
      <c r="N204" s="2">
        <v>11</v>
      </c>
    </row>
    <row r="205" spans="2:14" x14ac:dyDescent="0.3">
      <c r="B205" s="2">
        <v>204</v>
      </c>
      <c r="C205" s="4">
        <v>45967</v>
      </c>
      <c r="D205" s="3" t="s">
        <v>12</v>
      </c>
      <c r="E205" s="3" t="s">
        <v>18</v>
      </c>
      <c r="F205" s="3" t="s">
        <v>26</v>
      </c>
      <c r="G205" s="3" t="s">
        <v>32</v>
      </c>
      <c r="H205" s="2">
        <v>26</v>
      </c>
      <c r="I205" s="2">
        <v>1</v>
      </c>
      <c r="J205" s="2">
        <v>1</v>
      </c>
      <c r="K205" s="2" t="str">
        <f t="shared" si="10"/>
        <v>2º Semestre</v>
      </c>
      <c r="L205" s="2" t="str">
        <f t="shared" si="12"/>
        <v>T4</v>
      </c>
      <c r="M205" s="2" t="str">
        <f t="shared" si="9"/>
        <v>nov</v>
      </c>
      <c r="N205" s="2">
        <v>11</v>
      </c>
    </row>
    <row r="206" spans="2:14" x14ac:dyDescent="0.3">
      <c r="B206" s="2">
        <v>205</v>
      </c>
      <c r="C206" s="4">
        <v>45968</v>
      </c>
      <c r="D206" s="3" t="s">
        <v>13</v>
      </c>
      <c r="E206" s="3" t="s">
        <v>19</v>
      </c>
      <c r="F206" s="3" t="s">
        <v>28</v>
      </c>
      <c r="G206" s="3" t="s">
        <v>34</v>
      </c>
      <c r="H206" s="2">
        <v>10</v>
      </c>
      <c r="I206" s="2">
        <v>6</v>
      </c>
      <c r="J206" s="2">
        <v>2</v>
      </c>
      <c r="K206" s="2" t="str">
        <f t="shared" si="10"/>
        <v>2º Semestre</v>
      </c>
      <c r="L206" s="2" t="str">
        <f t="shared" si="12"/>
        <v>T4</v>
      </c>
      <c r="M206" s="2" t="str">
        <f t="shared" si="9"/>
        <v>nov</v>
      </c>
      <c r="N206" s="2">
        <v>11</v>
      </c>
    </row>
    <row r="207" spans="2:14" x14ac:dyDescent="0.3">
      <c r="B207" s="2">
        <v>206</v>
      </c>
      <c r="C207" s="4">
        <v>45971</v>
      </c>
      <c r="D207" s="3" t="s">
        <v>9</v>
      </c>
      <c r="E207" s="3" t="s">
        <v>15</v>
      </c>
      <c r="F207" s="3" t="s">
        <v>23</v>
      </c>
      <c r="G207" s="3" t="s">
        <v>32</v>
      </c>
      <c r="H207" s="2">
        <v>109</v>
      </c>
      <c r="I207" s="2">
        <v>2</v>
      </c>
      <c r="J207" s="2">
        <v>1</v>
      </c>
      <c r="K207" s="2" t="str">
        <f t="shared" si="10"/>
        <v>2º Semestre</v>
      </c>
      <c r="L207" s="2" t="str">
        <f t="shared" si="12"/>
        <v>T4</v>
      </c>
      <c r="M207" s="2" t="str">
        <f t="shared" si="9"/>
        <v>nov</v>
      </c>
      <c r="N207" s="2">
        <v>11</v>
      </c>
    </row>
    <row r="208" spans="2:14" x14ac:dyDescent="0.3">
      <c r="B208" s="2">
        <v>207</v>
      </c>
      <c r="C208" s="4">
        <v>45972</v>
      </c>
      <c r="D208" s="3" t="s">
        <v>9</v>
      </c>
      <c r="E208" s="3" t="s">
        <v>21</v>
      </c>
      <c r="F208" s="3" t="s">
        <v>30</v>
      </c>
      <c r="G208" s="3" t="s">
        <v>33</v>
      </c>
      <c r="H208" s="2">
        <v>109</v>
      </c>
      <c r="I208" s="2">
        <v>2</v>
      </c>
      <c r="J208" s="2">
        <v>1</v>
      </c>
      <c r="K208" s="2" t="str">
        <f t="shared" si="10"/>
        <v>2º Semestre</v>
      </c>
      <c r="L208" s="2" t="str">
        <f t="shared" si="12"/>
        <v>T4</v>
      </c>
      <c r="M208" s="2" t="str">
        <f t="shared" si="9"/>
        <v>nov</v>
      </c>
      <c r="N208" s="2">
        <v>11</v>
      </c>
    </row>
    <row r="209" spans="2:14" x14ac:dyDescent="0.3">
      <c r="B209" s="2">
        <v>208</v>
      </c>
      <c r="C209" s="4">
        <v>45973</v>
      </c>
      <c r="D209" s="3" t="s">
        <v>12</v>
      </c>
      <c r="E209" s="3" t="s">
        <v>14</v>
      </c>
      <c r="F209" s="3" t="s">
        <v>27</v>
      </c>
      <c r="G209" s="3" t="s">
        <v>32</v>
      </c>
      <c r="H209" s="2">
        <v>20</v>
      </c>
      <c r="I209" s="2">
        <v>1</v>
      </c>
      <c r="J209" s="2">
        <v>1</v>
      </c>
      <c r="K209" s="2" t="str">
        <f t="shared" si="10"/>
        <v>2º Semestre</v>
      </c>
      <c r="L209" s="2" t="str">
        <f t="shared" si="12"/>
        <v>T4</v>
      </c>
      <c r="M209" s="2" t="str">
        <f t="shared" si="9"/>
        <v>nov</v>
      </c>
      <c r="N209" s="2">
        <v>11</v>
      </c>
    </row>
    <row r="210" spans="2:14" x14ac:dyDescent="0.3">
      <c r="B210" s="2">
        <v>209</v>
      </c>
      <c r="C210" s="4">
        <v>45974</v>
      </c>
      <c r="D210" s="3" t="s">
        <v>11</v>
      </c>
      <c r="E210" s="3" t="s">
        <v>16</v>
      </c>
      <c r="F210" s="3" t="s">
        <v>36</v>
      </c>
      <c r="G210" s="3" t="s">
        <v>34</v>
      </c>
      <c r="H210" s="2">
        <v>30</v>
      </c>
      <c r="I210" s="2">
        <v>4</v>
      </c>
      <c r="J210" s="2">
        <v>1</v>
      </c>
      <c r="K210" s="2" t="str">
        <f t="shared" si="10"/>
        <v>2º Semestre</v>
      </c>
      <c r="L210" s="2" t="str">
        <f t="shared" si="12"/>
        <v>T4</v>
      </c>
      <c r="M210" s="2" t="str">
        <f t="shared" si="9"/>
        <v>nov</v>
      </c>
      <c r="N210" s="2">
        <v>11</v>
      </c>
    </row>
    <row r="211" spans="2:14" x14ac:dyDescent="0.3">
      <c r="B211" s="2">
        <v>210</v>
      </c>
      <c r="C211" s="4">
        <v>45975</v>
      </c>
      <c r="D211" s="3" t="s">
        <v>9</v>
      </c>
      <c r="E211" s="3" t="s">
        <v>37</v>
      </c>
      <c r="F211" s="3" t="s">
        <v>38</v>
      </c>
      <c r="G211" s="3" t="s">
        <v>33</v>
      </c>
      <c r="H211" s="2">
        <v>110</v>
      </c>
      <c r="I211" s="2">
        <v>2</v>
      </c>
      <c r="J211" s="2">
        <v>2</v>
      </c>
      <c r="K211" s="2" t="str">
        <f t="shared" si="10"/>
        <v>2º Semestre</v>
      </c>
      <c r="L211" s="2" t="str">
        <f t="shared" si="12"/>
        <v>T4</v>
      </c>
      <c r="M211" s="2" t="str">
        <f t="shared" si="9"/>
        <v>nov</v>
      </c>
      <c r="N211" s="2">
        <v>11</v>
      </c>
    </row>
    <row r="212" spans="2:14" x14ac:dyDescent="0.3">
      <c r="B212" s="2">
        <v>211</v>
      </c>
      <c r="C212" s="4">
        <v>45978</v>
      </c>
      <c r="D212" s="3" t="s">
        <v>10</v>
      </c>
      <c r="E212" s="3" t="s">
        <v>17</v>
      </c>
      <c r="F212" s="3" t="s">
        <v>39</v>
      </c>
      <c r="G212" s="3" t="s">
        <v>33</v>
      </c>
      <c r="H212" s="2">
        <v>82</v>
      </c>
      <c r="I212" s="2">
        <v>2</v>
      </c>
      <c r="J212" s="2">
        <v>2</v>
      </c>
      <c r="K212" s="2" t="str">
        <f t="shared" si="10"/>
        <v>2º Semestre</v>
      </c>
      <c r="L212" s="2" t="str">
        <f t="shared" si="12"/>
        <v>T4</v>
      </c>
      <c r="M212" s="2" t="str">
        <f t="shared" si="9"/>
        <v>nov</v>
      </c>
      <c r="N212" s="2">
        <v>11</v>
      </c>
    </row>
    <row r="213" spans="2:14" x14ac:dyDescent="0.3">
      <c r="B213" s="2">
        <v>212</v>
      </c>
      <c r="C213" s="4">
        <v>45979</v>
      </c>
      <c r="D213" s="3" t="s">
        <v>13</v>
      </c>
      <c r="E213" s="3" t="s">
        <v>15</v>
      </c>
      <c r="F213" s="3" t="s">
        <v>40</v>
      </c>
      <c r="G213" s="3" t="s">
        <v>32</v>
      </c>
      <c r="H213" s="2">
        <v>10</v>
      </c>
      <c r="I213" s="2">
        <v>4</v>
      </c>
      <c r="J213" s="2">
        <v>2</v>
      </c>
      <c r="K213" s="2" t="str">
        <f t="shared" si="10"/>
        <v>2º Semestre</v>
      </c>
      <c r="L213" s="2" t="str">
        <f t="shared" si="12"/>
        <v>T4</v>
      </c>
      <c r="M213" s="2" t="str">
        <f t="shared" si="9"/>
        <v>nov</v>
      </c>
      <c r="N213" s="2">
        <v>11</v>
      </c>
    </row>
    <row r="214" spans="2:14" x14ac:dyDescent="0.3">
      <c r="B214" s="2">
        <v>213</v>
      </c>
      <c r="C214" s="4">
        <v>45980</v>
      </c>
      <c r="D214" s="3" t="s">
        <v>9</v>
      </c>
      <c r="E214" s="3" t="s">
        <v>14</v>
      </c>
      <c r="F214" s="3" t="s">
        <v>22</v>
      </c>
      <c r="G214" s="3" t="s">
        <v>32</v>
      </c>
      <c r="H214" s="2">
        <v>110</v>
      </c>
      <c r="I214" s="2">
        <v>1</v>
      </c>
      <c r="J214" s="2">
        <v>1</v>
      </c>
      <c r="K214" s="2" t="str">
        <f t="shared" si="10"/>
        <v>2º Semestre</v>
      </c>
      <c r="L214" s="2" t="str">
        <f t="shared" si="12"/>
        <v>T4</v>
      </c>
      <c r="M214" s="2" t="str">
        <f t="shared" si="9"/>
        <v>nov</v>
      </c>
      <c r="N214" s="2">
        <v>11</v>
      </c>
    </row>
    <row r="215" spans="2:14" x14ac:dyDescent="0.3">
      <c r="B215" s="2">
        <v>214</v>
      </c>
      <c r="C215" s="4">
        <v>45981</v>
      </c>
      <c r="D215" s="3" t="s">
        <v>12</v>
      </c>
      <c r="E215" s="3" t="s">
        <v>18</v>
      </c>
      <c r="F215" s="3" t="s">
        <v>31</v>
      </c>
      <c r="G215" s="3" t="s">
        <v>32</v>
      </c>
      <c r="H215" s="2">
        <v>35</v>
      </c>
      <c r="I215" s="2">
        <v>1</v>
      </c>
      <c r="J215" s="2">
        <v>1</v>
      </c>
      <c r="K215" s="2" t="str">
        <f t="shared" si="10"/>
        <v>2º Semestre</v>
      </c>
      <c r="L215" s="2" t="str">
        <f t="shared" si="12"/>
        <v>T4</v>
      </c>
      <c r="M215" s="2" t="str">
        <f t="shared" si="9"/>
        <v>nov</v>
      </c>
      <c r="N215" s="2">
        <v>11</v>
      </c>
    </row>
    <row r="216" spans="2:14" x14ac:dyDescent="0.3">
      <c r="B216" s="2">
        <v>215</v>
      </c>
      <c r="C216" s="4">
        <v>45982</v>
      </c>
      <c r="D216" s="3" t="s">
        <v>10</v>
      </c>
      <c r="E216" s="3" t="s">
        <v>16</v>
      </c>
      <c r="F216" s="3" t="s">
        <v>24</v>
      </c>
      <c r="G216" s="3" t="s">
        <v>33</v>
      </c>
      <c r="H216" s="2">
        <v>82</v>
      </c>
      <c r="I216" s="2">
        <v>3</v>
      </c>
      <c r="J216" s="2">
        <v>1</v>
      </c>
      <c r="K216" s="2" t="str">
        <f t="shared" si="10"/>
        <v>2º Semestre</v>
      </c>
      <c r="L216" s="2" t="str">
        <f t="shared" si="12"/>
        <v>T4</v>
      </c>
      <c r="M216" s="2" t="str">
        <f t="shared" si="9"/>
        <v>nov</v>
      </c>
      <c r="N216" s="2">
        <v>11</v>
      </c>
    </row>
    <row r="217" spans="2:14" x14ac:dyDescent="0.3">
      <c r="B217" s="2">
        <v>216</v>
      </c>
      <c r="C217" s="4">
        <v>45985</v>
      </c>
      <c r="D217" s="3" t="s">
        <v>13</v>
      </c>
      <c r="E217" s="3" t="s">
        <v>19</v>
      </c>
      <c r="F217" s="3" t="s">
        <v>28</v>
      </c>
      <c r="G217" s="3" t="s">
        <v>34</v>
      </c>
      <c r="H217" s="2">
        <v>10</v>
      </c>
      <c r="I217" s="2">
        <v>6</v>
      </c>
      <c r="J217" s="2">
        <v>0</v>
      </c>
      <c r="K217" s="2" t="str">
        <f t="shared" si="10"/>
        <v>2º Semestre</v>
      </c>
      <c r="L217" s="2" t="str">
        <f t="shared" si="12"/>
        <v>T4</v>
      </c>
      <c r="M217" s="2" t="str">
        <f t="shared" si="9"/>
        <v>nov</v>
      </c>
      <c r="N217" s="2">
        <v>11</v>
      </c>
    </row>
    <row r="218" spans="2:14" x14ac:dyDescent="0.3">
      <c r="B218" s="2">
        <v>217</v>
      </c>
      <c r="C218" s="4">
        <v>45986</v>
      </c>
      <c r="D218" s="3" t="s">
        <v>9</v>
      </c>
      <c r="E218" s="3" t="s">
        <v>20</v>
      </c>
      <c r="F218" s="3" t="s">
        <v>29</v>
      </c>
      <c r="G218" s="3" t="s">
        <v>35</v>
      </c>
      <c r="H218" s="2">
        <v>120</v>
      </c>
      <c r="I218" s="2">
        <v>1</v>
      </c>
      <c r="J218" s="2">
        <v>1</v>
      </c>
      <c r="K218" s="2" t="str">
        <f t="shared" si="10"/>
        <v>2º Semestre</v>
      </c>
      <c r="L218" s="2" t="str">
        <f t="shared" si="12"/>
        <v>T4</v>
      </c>
      <c r="M218" s="2" t="str">
        <f t="shared" si="9"/>
        <v>nov</v>
      </c>
      <c r="N218" s="2">
        <v>11</v>
      </c>
    </row>
    <row r="219" spans="2:14" x14ac:dyDescent="0.3">
      <c r="B219" s="2">
        <v>218</v>
      </c>
      <c r="C219" s="4">
        <v>45987</v>
      </c>
      <c r="D219" s="3" t="s">
        <v>11</v>
      </c>
      <c r="E219" s="3" t="s">
        <v>17</v>
      </c>
      <c r="F219" s="3" t="s">
        <v>25</v>
      </c>
      <c r="G219" s="3" t="s">
        <v>33</v>
      </c>
      <c r="H219" s="2">
        <v>44</v>
      </c>
      <c r="I219" s="2">
        <v>3</v>
      </c>
      <c r="J219" s="2">
        <v>2</v>
      </c>
      <c r="K219" s="2" t="str">
        <f t="shared" si="10"/>
        <v>2º Semestre</v>
      </c>
      <c r="L219" s="2" t="str">
        <f t="shared" si="12"/>
        <v>T4</v>
      </c>
      <c r="M219" s="2" t="str">
        <f t="shared" si="9"/>
        <v>nov</v>
      </c>
      <c r="N219" s="2">
        <v>11</v>
      </c>
    </row>
    <row r="220" spans="2:14" x14ac:dyDescent="0.3">
      <c r="B220" s="2">
        <v>219</v>
      </c>
      <c r="C220" s="4">
        <v>45988</v>
      </c>
      <c r="D220" s="3" t="s">
        <v>9</v>
      </c>
      <c r="E220" s="3" t="s">
        <v>15</v>
      </c>
      <c r="F220" s="3" t="s">
        <v>23</v>
      </c>
      <c r="G220" s="3" t="s">
        <v>32</v>
      </c>
      <c r="H220" s="2">
        <v>120</v>
      </c>
      <c r="I220" s="2">
        <v>2</v>
      </c>
      <c r="J220" s="2">
        <v>1</v>
      </c>
      <c r="K220" s="2" t="str">
        <f t="shared" si="10"/>
        <v>2º Semestre</v>
      </c>
      <c r="L220" s="2" t="str">
        <f t="shared" si="12"/>
        <v>T4</v>
      </c>
      <c r="M220" s="2" t="str">
        <f t="shared" si="9"/>
        <v>nov</v>
      </c>
      <c r="N220" s="2">
        <v>11</v>
      </c>
    </row>
    <row r="221" spans="2:14" x14ac:dyDescent="0.3">
      <c r="B221" s="2">
        <v>220</v>
      </c>
      <c r="C221" s="4">
        <v>45989</v>
      </c>
      <c r="D221" s="3" t="s">
        <v>12</v>
      </c>
      <c r="E221" s="3" t="s">
        <v>14</v>
      </c>
      <c r="F221" s="3" t="s">
        <v>27</v>
      </c>
      <c r="G221" s="3" t="s">
        <v>32</v>
      </c>
      <c r="H221" s="2">
        <v>26</v>
      </c>
      <c r="I221" s="2">
        <v>1</v>
      </c>
      <c r="J221" s="2">
        <v>1</v>
      </c>
      <c r="K221" s="2" t="str">
        <f t="shared" si="10"/>
        <v>2º Semestre</v>
      </c>
      <c r="L221" s="2" t="str">
        <f t="shared" si="12"/>
        <v>T4</v>
      </c>
      <c r="M221" s="2" t="str">
        <f t="shared" si="9"/>
        <v>nov</v>
      </c>
      <c r="N221" s="2">
        <v>11</v>
      </c>
    </row>
    <row r="222" spans="2:14" x14ac:dyDescent="0.3">
      <c r="B222" s="2">
        <v>221</v>
      </c>
      <c r="C222" s="4">
        <v>45992</v>
      </c>
      <c r="D222" s="3" t="s">
        <v>9</v>
      </c>
      <c r="E222" s="3" t="s">
        <v>14</v>
      </c>
      <c r="F222" s="3" t="s">
        <v>22</v>
      </c>
      <c r="G222" s="3" t="s">
        <v>32</v>
      </c>
      <c r="H222" s="2">
        <v>110</v>
      </c>
      <c r="I222" s="2">
        <v>1</v>
      </c>
      <c r="J222" s="2">
        <v>1</v>
      </c>
      <c r="K222" s="2" t="str">
        <f t="shared" si="10"/>
        <v>2º Semestre</v>
      </c>
      <c r="L222" s="2" t="str">
        <f t="shared" si="12"/>
        <v>T4</v>
      </c>
      <c r="M222" s="2" t="str">
        <f t="shared" si="9"/>
        <v>dez</v>
      </c>
      <c r="N222" s="2">
        <v>12</v>
      </c>
    </row>
    <row r="223" spans="2:14" x14ac:dyDescent="0.3">
      <c r="B223" s="2">
        <v>222</v>
      </c>
      <c r="C223" s="4">
        <v>45993</v>
      </c>
      <c r="D223" s="3" t="s">
        <v>10</v>
      </c>
      <c r="E223" s="3" t="s">
        <v>16</v>
      </c>
      <c r="F223" s="3" t="s">
        <v>24</v>
      </c>
      <c r="G223" s="3" t="s">
        <v>33</v>
      </c>
      <c r="H223" s="2">
        <v>85</v>
      </c>
      <c r="I223" s="2">
        <v>3</v>
      </c>
      <c r="J223" s="2">
        <v>1</v>
      </c>
      <c r="K223" s="2" t="str">
        <f t="shared" si="10"/>
        <v>2º Semestre</v>
      </c>
      <c r="L223" s="2" t="str">
        <f t="shared" si="12"/>
        <v>T4</v>
      </c>
      <c r="M223" s="2" t="str">
        <f t="shared" si="9"/>
        <v>dez</v>
      </c>
      <c r="N223" s="2">
        <v>12</v>
      </c>
    </row>
    <row r="224" spans="2:14" x14ac:dyDescent="0.3">
      <c r="B224" s="2">
        <v>223</v>
      </c>
      <c r="C224" s="4">
        <v>45994</v>
      </c>
      <c r="D224" s="3" t="s">
        <v>11</v>
      </c>
      <c r="E224" s="3" t="s">
        <v>17</v>
      </c>
      <c r="F224" s="3" t="s">
        <v>25</v>
      </c>
      <c r="G224" s="3" t="s">
        <v>33</v>
      </c>
      <c r="H224" s="2">
        <v>50</v>
      </c>
      <c r="I224" s="2">
        <v>2</v>
      </c>
      <c r="J224" s="2">
        <v>1</v>
      </c>
      <c r="K224" s="2" t="str">
        <f t="shared" si="10"/>
        <v>2º Semestre</v>
      </c>
      <c r="L224" s="2" t="str">
        <f t="shared" si="12"/>
        <v>T4</v>
      </c>
      <c r="M224" s="2" t="str">
        <f t="shared" si="9"/>
        <v>dez</v>
      </c>
      <c r="N224" s="2">
        <v>12</v>
      </c>
    </row>
    <row r="225" spans="2:14" x14ac:dyDescent="0.3">
      <c r="B225" s="2">
        <v>224</v>
      </c>
      <c r="C225" s="4">
        <v>45995</v>
      </c>
      <c r="D225" s="3" t="s">
        <v>12</v>
      </c>
      <c r="E225" s="3" t="s">
        <v>18</v>
      </c>
      <c r="F225" s="3" t="s">
        <v>26</v>
      </c>
      <c r="G225" s="3" t="s">
        <v>32</v>
      </c>
      <c r="H225" s="2">
        <v>26</v>
      </c>
      <c r="I225" s="2">
        <v>1</v>
      </c>
      <c r="J225" s="2">
        <v>1</v>
      </c>
      <c r="K225" s="2" t="str">
        <f t="shared" si="10"/>
        <v>2º Semestre</v>
      </c>
      <c r="L225" s="2" t="str">
        <f t="shared" si="12"/>
        <v>T4</v>
      </c>
      <c r="M225" s="2" t="str">
        <f t="shared" si="9"/>
        <v>dez</v>
      </c>
      <c r="N225" s="2">
        <v>12</v>
      </c>
    </row>
    <row r="226" spans="2:14" x14ac:dyDescent="0.3">
      <c r="B226" s="2">
        <v>225</v>
      </c>
      <c r="C226" s="4">
        <v>45996</v>
      </c>
      <c r="D226" s="3" t="s">
        <v>13</v>
      </c>
      <c r="E226" s="3" t="s">
        <v>19</v>
      </c>
      <c r="F226" s="3" t="s">
        <v>28</v>
      </c>
      <c r="G226" s="3" t="s">
        <v>34</v>
      </c>
      <c r="H226" s="2">
        <v>10</v>
      </c>
      <c r="I226" s="2">
        <v>5</v>
      </c>
      <c r="J226" s="2">
        <v>3</v>
      </c>
      <c r="K226" s="2" t="str">
        <f t="shared" si="10"/>
        <v>2º Semestre</v>
      </c>
      <c r="L226" s="2" t="str">
        <f t="shared" si="12"/>
        <v>T4</v>
      </c>
      <c r="M226" s="2" t="str">
        <f t="shared" si="9"/>
        <v>dez</v>
      </c>
      <c r="N226" s="2">
        <v>12</v>
      </c>
    </row>
    <row r="227" spans="2:14" x14ac:dyDescent="0.3">
      <c r="B227" s="2">
        <v>226</v>
      </c>
      <c r="C227" s="4">
        <v>45999</v>
      </c>
      <c r="D227" s="3" t="s">
        <v>9</v>
      </c>
      <c r="E227" s="3" t="s">
        <v>15</v>
      </c>
      <c r="F227" s="3" t="s">
        <v>23</v>
      </c>
      <c r="G227" s="3" t="s">
        <v>32</v>
      </c>
      <c r="H227" s="2">
        <v>110</v>
      </c>
      <c r="I227" s="2">
        <v>1</v>
      </c>
      <c r="J227" s="2">
        <v>1</v>
      </c>
      <c r="K227" s="2" t="str">
        <f t="shared" si="10"/>
        <v>2º Semestre</v>
      </c>
      <c r="L227" s="2" t="str">
        <f t="shared" si="12"/>
        <v>T4</v>
      </c>
      <c r="M227" s="2" t="str">
        <f t="shared" si="9"/>
        <v>dez</v>
      </c>
      <c r="N227" s="2">
        <v>12</v>
      </c>
    </row>
    <row r="228" spans="2:14" x14ac:dyDescent="0.3">
      <c r="B228" s="2">
        <v>227</v>
      </c>
      <c r="C228" s="4">
        <v>46000</v>
      </c>
      <c r="D228" s="3" t="s">
        <v>9</v>
      </c>
      <c r="E228" s="3" t="s">
        <v>21</v>
      </c>
      <c r="F228" s="3" t="s">
        <v>30</v>
      </c>
      <c r="G228" s="3" t="s">
        <v>33</v>
      </c>
      <c r="H228" s="2">
        <v>110</v>
      </c>
      <c r="I228" s="2">
        <v>2</v>
      </c>
      <c r="J228" s="2">
        <v>1</v>
      </c>
      <c r="K228" s="2" t="str">
        <f t="shared" si="10"/>
        <v>2º Semestre</v>
      </c>
      <c r="L228" s="2" t="str">
        <f t="shared" si="12"/>
        <v>T4</v>
      </c>
      <c r="M228" s="2" t="str">
        <f t="shared" si="9"/>
        <v>dez</v>
      </c>
      <c r="N228" s="2">
        <v>12</v>
      </c>
    </row>
    <row r="229" spans="2:14" x14ac:dyDescent="0.3">
      <c r="B229" s="2">
        <v>228</v>
      </c>
      <c r="C229" s="4">
        <v>46001</v>
      </c>
      <c r="D229" s="3" t="s">
        <v>12</v>
      </c>
      <c r="E229" s="3" t="s">
        <v>14</v>
      </c>
      <c r="F229" s="3" t="s">
        <v>27</v>
      </c>
      <c r="G229" s="3" t="s">
        <v>32</v>
      </c>
      <c r="H229" s="2">
        <v>30</v>
      </c>
      <c r="I229" s="2">
        <v>1</v>
      </c>
      <c r="J229" s="2">
        <v>1</v>
      </c>
      <c r="K229" s="2" t="str">
        <f t="shared" si="10"/>
        <v>2º Semestre</v>
      </c>
      <c r="L229" s="2" t="str">
        <f t="shared" si="12"/>
        <v>T4</v>
      </c>
      <c r="M229" s="2" t="str">
        <f t="shared" si="9"/>
        <v>dez</v>
      </c>
      <c r="N229" s="2">
        <v>12</v>
      </c>
    </row>
    <row r="230" spans="2:14" x14ac:dyDescent="0.3">
      <c r="B230" s="2">
        <v>229</v>
      </c>
      <c r="C230" s="4">
        <v>46002</v>
      </c>
      <c r="D230" s="3" t="s">
        <v>11</v>
      </c>
      <c r="E230" s="3" t="s">
        <v>16</v>
      </c>
      <c r="F230" s="3" t="s">
        <v>36</v>
      </c>
      <c r="G230" s="3" t="s">
        <v>34</v>
      </c>
      <c r="H230" s="2">
        <v>43</v>
      </c>
      <c r="I230" s="2">
        <v>3</v>
      </c>
      <c r="J230" s="2">
        <v>1</v>
      </c>
      <c r="K230" s="2" t="str">
        <f t="shared" si="10"/>
        <v>2º Semestre</v>
      </c>
      <c r="L230" s="2" t="str">
        <f t="shared" si="12"/>
        <v>T4</v>
      </c>
      <c r="M230" s="2" t="str">
        <f t="shared" si="9"/>
        <v>dez</v>
      </c>
      <c r="N230" s="2">
        <v>12</v>
      </c>
    </row>
    <row r="231" spans="2:14" x14ac:dyDescent="0.3">
      <c r="B231" s="2">
        <v>230</v>
      </c>
      <c r="C231" s="4">
        <v>46003</v>
      </c>
      <c r="D231" s="3" t="s">
        <v>9</v>
      </c>
      <c r="E231" s="3" t="s">
        <v>37</v>
      </c>
      <c r="F231" s="3" t="s">
        <v>38</v>
      </c>
      <c r="G231" s="3" t="s">
        <v>33</v>
      </c>
      <c r="H231" s="2">
        <v>100</v>
      </c>
      <c r="I231" s="2">
        <v>2</v>
      </c>
      <c r="J231" s="2">
        <v>1</v>
      </c>
      <c r="K231" s="2" t="str">
        <f t="shared" si="10"/>
        <v>2º Semestre</v>
      </c>
      <c r="L231" s="2" t="str">
        <f t="shared" si="12"/>
        <v>T4</v>
      </c>
      <c r="M231" s="2" t="str">
        <f t="shared" si="9"/>
        <v>dez</v>
      </c>
      <c r="N231" s="2">
        <v>12</v>
      </c>
    </row>
    <row r="232" spans="2:14" x14ac:dyDescent="0.3">
      <c r="B232" s="2">
        <v>231</v>
      </c>
      <c r="C232" s="4">
        <v>46006</v>
      </c>
      <c r="D232" s="3" t="s">
        <v>10</v>
      </c>
      <c r="E232" s="3" t="s">
        <v>17</v>
      </c>
      <c r="F232" s="3" t="s">
        <v>39</v>
      </c>
      <c r="G232" s="3" t="s">
        <v>33</v>
      </c>
      <c r="H232" s="2">
        <v>85</v>
      </c>
      <c r="I232" s="2">
        <v>2</v>
      </c>
      <c r="J232" s="2">
        <v>1</v>
      </c>
      <c r="K232" s="2" t="str">
        <f t="shared" si="10"/>
        <v>2º Semestre</v>
      </c>
      <c r="L232" s="2" t="str">
        <f t="shared" si="12"/>
        <v>T4</v>
      </c>
      <c r="M232" s="2" t="str">
        <f t="shared" si="9"/>
        <v>dez</v>
      </c>
      <c r="N232" s="2">
        <v>12</v>
      </c>
    </row>
    <row r="233" spans="2:14" x14ac:dyDescent="0.3">
      <c r="B233" s="2">
        <v>232</v>
      </c>
      <c r="C233" s="4">
        <v>46007</v>
      </c>
      <c r="D233" s="3" t="s">
        <v>13</v>
      </c>
      <c r="E233" s="3" t="s">
        <v>15</v>
      </c>
      <c r="F233" s="3" t="s">
        <v>40</v>
      </c>
      <c r="G233" s="3" t="s">
        <v>32</v>
      </c>
      <c r="H233" s="2">
        <v>10</v>
      </c>
      <c r="I233" s="2">
        <v>3</v>
      </c>
      <c r="J233" s="2">
        <v>3</v>
      </c>
      <c r="K233" s="2" t="str">
        <f t="shared" si="10"/>
        <v>2º Semestre</v>
      </c>
      <c r="L233" s="2" t="str">
        <f t="shared" si="12"/>
        <v>T4</v>
      </c>
      <c r="M233" s="2" t="str">
        <f t="shared" si="9"/>
        <v>dez</v>
      </c>
      <c r="N233" s="2">
        <v>12</v>
      </c>
    </row>
    <row r="234" spans="2:14" x14ac:dyDescent="0.3">
      <c r="B234" s="2">
        <v>233</v>
      </c>
      <c r="C234" s="4">
        <v>46008</v>
      </c>
      <c r="D234" s="3" t="s">
        <v>9</v>
      </c>
      <c r="E234" s="3" t="s">
        <v>14</v>
      </c>
      <c r="F234" s="3" t="s">
        <v>22</v>
      </c>
      <c r="G234" s="3" t="s">
        <v>32</v>
      </c>
      <c r="H234" s="2">
        <v>100</v>
      </c>
      <c r="I234" s="2">
        <v>1</v>
      </c>
      <c r="J234" s="2">
        <v>1</v>
      </c>
      <c r="K234" s="2" t="str">
        <f t="shared" si="10"/>
        <v>2º Semestre</v>
      </c>
      <c r="L234" s="2" t="str">
        <f t="shared" si="12"/>
        <v>T4</v>
      </c>
      <c r="M234" s="2" t="str">
        <f t="shared" si="9"/>
        <v>dez</v>
      </c>
      <c r="N234" s="2">
        <v>12</v>
      </c>
    </row>
    <row r="235" spans="2:14" x14ac:dyDescent="0.3">
      <c r="B235" s="2">
        <v>234</v>
      </c>
      <c r="C235" s="4">
        <v>46009</v>
      </c>
      <c r="D235" s="3" t="s">
        <v>12</v>
      </c>
      <c r="E235" s="3" t="s">
        <v>18</v>
      </c>
      <c r="F235" s="3" t="s">
        <v>31</v>
      </c>
      <c r="G235" s="3" t="s">
        <v>32</v>
      </c>
      <c r="H235" s="2">
        <v>35</v>
      </c>
      <c r="I235" s="2">
        <v>1</v>
      </c>
      <c r="J235" s="2">
        <v>1</v>
      </c>
      <c r="K235" s="2" t="str">
        <f t="shared" si="10"/>
        <v>2º Semestre</v>
      </c>
      <c r="L235" s="2" t="str">
        <f t="shared" si="12"/>
        <v>T4</v>
      </c>
      <c r="M235" s="2" t="str">
        <f t="shared" si="9"/>
        <v>dez</v>
      </c>
      <c r="N235" s="2">
        <v>12</v>
      </c>
    </row>
    <row r="236" spans="2:14" x14ac:dyDescent="0.3">
      <c r="B236" s="2">
        <v>235</v>
      </c>
      <c r="C236" s="4">
        <v>46010</v>
      </c>
      <c r="D236" s="3" t="s">
        <v>10</v>
      </c>
      <c r="E236" s="3" t="s">
        <v>16</v>
      </c>
      <c r="F236" s="3" t="s">
        <v>24</v>
      </c>
      <c r="G236" s="3" t="s">
        <v>33</v>
      </c>
      <c r="H236" s="2">
        <v>80</v>
      </c>
      <c r="I236" s="2">
        <v>3</v>
      </c>
      <c r="J236" s="2">
        <v>1</v>
      </c>
      <c r="K236" s="2" t="str">
        <f t="shared" si="10"/>
        <v>2º Semestre</v>
      </c>
      <c r="L236" s="2" t="str">
        <f t="shared" si="12"/>
        <v>T4</v>
      </c>
      <c r="M236" s="2" t="str">
        <f t="shared" si="9"/>
        <v>dez</v>
      </c>
      <c r="N236" s="2">
        <v>12</v>
      </c>
    </row>
    <row r="237" spans="2:14" x14ac:dyDescent="0.3">
      <c r="B237" s="2">
        <v>236</v>
      </c>
      <c r="C237" s="4">
        <v>46013</v>
      </c>
      <c r="D237" s="3" t="s">
        <v>13</v>
      </c>
      <c r="E237" s="3" t="s">
        <v>19</v>
      </c>
      <c r="F237" s="3" t="s">
        <v>28</v>
      </c>
      <c r="G237" s="3" t="s">
        <v>34</v>
      </c>
      <c r="H237" s="2">
        <v>10</v>
      </c>
      <c r="I237" s="2">
        <v>5</v>
      </c>
      <c r="J237" s="2">
        <v>2</v>
      </c>
      <c r="K237" s="2" t="str">
        <f t="shared" si="10"/>
        <v>2º Semestre</v>
      </c>
      <c r="L237" s="2" t="str">
        <f t="shared" si="12"/>
        <v>T4</v>
      </c>
      <c r="M237" s="2" t="str">
        <f t="shared" si="9"/>
        <v>dez</v>
      </c>
      <c r="N237" s="2">
        <v>12</v>
      </c>
    </row>
    <row r="238" spans="2:14" x14ac:dyDescent="0.3">
      <c r="B238" s="2">
        <v>237</v>
      </c>
      <c r="C238" s="4">
        <v>46014</v>
      </c>
      <c r="D238" s="3" t="s">
        <v>9</v>
      </c>
      <c r="E238" s="3" t="s">
        <v>20</v>
      </c>
      <c r="F238" s="3" t="s">
        <v>29</v>
      </c>
      <c r="G238" s="3" t="s">
        <v>35</v>
      </c>
      <c r="H238" s="2">
        <v>100</v>
      </c>
      <c r="I238" s="2">
        <v>1</v>
      </c>
      <c r="J238" s="2">
        <v>1</v>
      </c>
      <c r="K238" s="2" t="str">
        <f t="shared" si="10"/>
        <v>2º Semestre</v>
      </c>
      <c r="L238" s="2" t="str">
        <f t="shared" si="12"/>
        <v>T4</v>
      </c>
      <c r="M238" s="2" t="str">
        <f t="shared" si="9"/>
        <v>dez</v>
      </c>
      <c r="N238" s="2">
        <v>12</v>
      </c>
    </row>
    <row r="239" spans="2:14" x14ac:dyDescent="0.3">
      <c r="B239" s="2">
        <v>238</v>
      </c>
      <c r="C239" s="4">
        <v>46017</v>
      </c>
      <c r="D239" s="3" t="s">
        <v>11</v>
      </c>
      <c r="E239" s="3" t="s">
        <v>17</v>
      </c>
      <c r="F239" s="3" t="s">
        <v>25</v>
      </c>
      <c r="G239" s="3" t="s">
        <v>33</v>
      </c>
      <c r="H239" s="2">
        <v>50</v>
      </c>
      <c r="I239" s="2">
        <v>2</v>
      </c>
      <c r="J239" s="2">
        <v>1</v>
      </c>
      <c r="K239" s="2" t="str">
        <f t="shared" si="10"/>
        <v>2º Semestre</v>
      </c>
      <c r="L239" s="2" t="str">
        <f t="shared" si="12"/>
        <v>T4</v>
      </c>
      <c r="M239" s="2" t="str">
        <f t="shared" si="9"/>
        <v>dez</v>
      </c>
      <c r="N239" s="2">
        <v>12</v>
      </c>
    </row>
    <row r="240" spans="2:14" x14ac:dyDescent="0.3">
      <c r="B240" s="2">
        <v>239</v>
      </c>
      <c r="C240" s="4">
        <v>46020</v>
      </c>
      <c r="D240" s="3" t="s">
        <v>9</v>
      </c>
      <c r="E240" s="3" t="s">
        <v>15</v>
      </c>
      <c r="F240" s="3" t="s">
        <v>23</v>
      </c>
      <c r="G240" s="3" t="s">
        <v>32</v>
      </c>
      <c r="H240" s="2">
        <v>100</v>
      </c>
      <c r="I240" s="2">
        <v>1</v>
      </c>
      <c r="J240" s="2">
        <v>1</v>
      </c>
      <c r="K240" s="2" t="str">
        <f t="shared" si="10"/>
        <v>2º Semestre</v>
      </c>
      <c r="L240" s="2" t="str">
        <f t="shared" si="12"/>
        <v>T4</v>
      </c>
      <c r="M240" s="2" t="str">
        <f t="shared" si="9"/>
        <v>dez</v>
      </c>
      <c r="N240" s="2">
        <v>12</v>
      </c>
    </row>
    <row r="241" spans="2:14" x14ac:dyDescent="0.3">
      <c r="B241" s="2">
        <v>240</v>
      </c>
      <c r="C241" s="4">
        <v>46021</v>
      </c>
      <c r="D241" s="3" t="s">
        <v>12</v>
      </c>
      <c r="E241" s="3" t="s">
        <v>14</v>
      </c>
      <c r="F241" s="3" t="s">
        <v>27</v>
      </c>
      <c r="G241" s="3" t="s">
        <v>32</v>
      </c>
      <c r="H241" s="2">
        <v>20</v>
      </c>
      <c r="I241" s="2">
        <v>1</v>
      </c>
      <c r="J241" s="2">
        <v>1</v>
      </c>
      <c r="K241" s="2" t="str">
        <f t="shared" si="10"/>
        <v>2º Semestre</v>
      </c>
      <c r="L241" s="2" t="str">
        <f t="shared" si="12"/>
        <v>T4</v>
      </c>
      <c r="M241" s="2" t="str">
        <f t="shared" si="9"/>
        <v>dez</v>
      </c>
      <c r="N241" s="2">
        <v>12</v>
      </c>
    </row>
    <row r="242" spans="2:14" x14ac:dyDescent="0.3">
      <c r="B242">
        <v>241</v>
      </c>
      <c r="C242" t="s">
        <v>126</v>
      </c>
      <c r="D242" t="s">
        <v>11</v>
      </c>
      <c r="E242" t="s">
        <v>16</v>
      </c>
      <c r="F242" t="s">
        <v>24</v>
      </c>
      <c r="G242" t="s">
        <v>33</v>
      </c>
      <c r="H242">
        <v>44</v>
      </c>
      <c r="I242">
        <v>1</v>
      </c>
      <c r="J242">
        <v>1</v>
      </c>
      <c r="K242" t="s">
        <v>127</v>
      </c>
      <c r="L242" t="s">
        <v>111</v>
      </c>
      <c r="M242" t="s">
        <v>120</v>
      </c>
      <c r="N242">
        <v>7</v>
      </c>
    </row>
    <row r="243" spans="2:14" x14ac:dyDescent="0.3">
      <c r="B243">
        <v>242</v>
      </c>
      <c r="C243" t="s">
        <v>128</v>
      </c>
      <c r="D243" t="s">
        <v>10</v>
      </c>
      <c r="E243" t="s">
        <v>16</v>
      </c>
      <c r="F243" t="s">
        <v>24</v>
      </c>
      <c r="G243" t="s">
        <v>33</v>
      </c>
      <c r="H243">
        <v>100</v>
      </c>
      <c r="I243">
        <v>2</v>
      </c>
      <c r="J243">
        <v>3</v>
      </c>
      <c r="K243" t="s">
        <v>127</v>
      </c>
      <c r="L243" t="s">
        <v>111</v>
      </c>
      <c r="M243" t="s">
        <v>120</v>
      </c>
      <c r="N243">
        <v>7</v>
      </c>
    </row>
    <row r="244" spans="2:14" x14ac:dyDescent="0.3">
      <c r="B244">
        <v>243</v>
      </c>
      <c r="C244" t="s">
        <v>129</v>
      </c>
      <c r="D244" t="s">
        <v>12</v>
      </c>
      <c r="E244" t="s">
        <v>14</v>
      </c>
      <c r="F244" t="s">
        <v>22</v>
      </c>
      <c r="G244" t="s">
        <v>32</v>
      </c>
      <c r="H244">
        <v>30</v>
      </c>
      <c r="I244">
        <v>1</v>
      </c>
      <c r="J244">
        <v>2</v>
      </c>
      <c r="K244" t="s">
        <v>127</v>
      </c>
      <c r="L244" t="s">
        <v>111</v>
      </c>
      <c r="M244" t="s">
        <v>120</v>
      </c>
      <c r="N244">
        <v>7</v>
      </c>
    </row>
    <row r="245" spans="2:14" x14ac:dyDescent="0.3">
      <c r="B245">
        <v>244</v>
      </c>
      <c r="C245" t="s">
        <v>130</v>
      </c>
      <c r="D245" t="s">
        <v>12</v>
      </c>
      <c r="E245" t="s">
        <v>19</v>
      </c>
      <c r="F245" t="s">
        <v>28</v>
      </c>
      <c r="G245" t="s">
        <v>34</v>
      </c>
      <c r="H245">
        <v>30</v>
      </c>
      <c r="I245">
        <v>1</v>
      </c>
      <c r="J245">
        <v>0</v>
      </c>
      <c r="K245" t="s">
        <v>127</v>
      </c>
      <c r="L245" t="s">
        <v>111</v>
      </c>
      <c r="M245" t="s">
        <v>120</v>
      </c>
      <c r="N245">
        <v>7</v>
      </c>
    </row>
    <row r="246" spans="2:14" x14ac:dyDescent="0.3">
      <c r="B246">
        <v>245</v>
      </c>
      <c r="C246" t="s">
        <v>131</v>
      </c>
      <c r="D246" t="s">
        <v>13</v>
      </c>
      <c r="E246" t="s">
        <v>14</v>
      </c>
      <c r="F246" t="s">
        <v>22</v>
      </c>
      <c r="G246" t="s">
        <v>32</v>
      </c>
      <c r="H246">
        <v>16</v>
      </c>
      <c r="I246">
        <v>4</v>
      </c>
      <c r="J246">
        <v>1</v>
      </c>
      <c r="K246" t="s">
        <v>127</v>
      </c>
      <c r="L246" t="s">
        <v>111</v>
      </c>
      <c r="M246" t="s">
        <v>120</v>
      </c>
      <c r="N246">
        <v>7</v>
      </c>
    </row>
    <row r="247" spans="2:14" x14ac:dyDescent="0.3">
      <c r="B247">
        <v>246</v>
      </c>
      <c r="C247" t="s">
        <v>132</v>
      </c>
      <c r="D247" t="s">
        <v>9</v>
      </c>
      <c r="E247" t="s">
        <v>19</v>
      </c>
      <c r="F247" t="s">
        <v>28</v>
      </c>
      <c r="G247" t="s">
        <v>34</v>
      </c>
      <c r="H247">
        <v>120</v>
      </c>
      <c r="I247">
        <v>1</v>
      </c>
      <c r="J247">
        <v>0</v>
      </c>
      <c r="K247" t="s">
        <v>127</v>
      </c>
      <c r="L247" t="s">
        <v>111</v>
      </c>
      <c r="M247" t="s">
        <v>120</v>
      </c>
      <c r="N247">
        <v>7</v>
      </c>
    </row>
    <row r="248" spans="2:14" x14ac:dyDescent="0.3">
      <c r="B248">
        <v>247</v>
      </c>
      <c r="C248" t="s">
        <v>133</v>
      </c>
      <c r="D248" t="s">
        <v>11</v>
      </c>
      <c r="E248" t="s">
        <v>16</v>
      </c>
      <c r="F248" t="s">
        <v>24</v>
      </c>
      <c r="G248" t="s">
        <v>33</v>
      </c>
      <c r="H248">
        <v>50</v>
      </c>
      <c r="I248">
        <v>1</v>
      </c>
      <c r="J248">
        <v>3</v>
      </c>
      <c r="K248" t="s">
        <v>127</v>
      </c>
      <c r="L248" t="s">
        <v>111</v>
      </c>
      <c r="M248" t="s">
        <v>120</v>
      </c>
      <c r="N248">
        <v>7</v>
      </c>
    </row>
    <row r="249" spans="2:14" x14ac:dyDescent="0.3">
      <c r="B249">
        <v>248</v>
      </c>
      <c r="C249" t="s">
        <v>134</v>
      </c>
      <c r="D249" t="s">
        <v>9</v>
      </c>
      <c r="E249" t="s">
        <v>19</v>
      </c>
      <c r="F249" t="s">
        <v>28</v>
      </c>
      <c r="G249" t="s">
        <v>34</v>
      </c>
      <c r="H249">
        <v>120</v>
      </c>
      <c r="I249">
        <v>1</v>
      </c>
      <c r="J249">
        <v>2</v>
      </c>
      <c r="K249" t="s">
        <v>127</v>
      </c>
      <c r="L249" t="s">
        <v>111</v>
      </c>
      <c r="M249" t="s">
        <v>120</v>
      </c>
      <c r="N249">
        <v>7</v>
      </c>
    </row>
    <row r="250" spans="2:14" x14ac:dyDescent="0.3">
      <c r="B250">
        <v>249</v>
      </c>
      <c r="C250" t="s">
        <v>135</v>
      </c>
      <c r="D250" t="s">
        <v>11</v>
      </c>
      <c r="E250" t="s">
        <v>14</v>
      </c>
      <c r="F250" t="s">
        <v>22</v>
      </c>
      <c r="G250" t="s">
        <v>32</v>
      </c>
      <c r="H250">
        <v>43</v>
      </c>
      <c r="I250">
        <v>3</v>
      </c>
      <c r="J250">
        <v>2</v>
      </c>
      <c r="K250" t="s">
        <v>127</v>
      </c>
      <c r="L250" t="s">
        <v>111</v>
      </c>
      <c r="M250" t="s">
        <v>120</v>
      </c>
      <c r="N250">
        <v>7</v>
      </c>
    </row>
    <row r="251" spans="2:14" x14ac:dyDescent="0.3">
      <c r="B251">
        <v>250</v>
      </c>
      <c r="C251" t="s">
        <v>136</v>
      </c>
      <c r="D251" t="s">
        <v>13</v>
      </c>
      <c r="E251" t="s">
        <v>14</v>
      </c>
      <c r="F251" t="s">
        <v>22</v>
      </c>
      <c r="G251" t="s">
        <v>32</v>
      </c>
      <c r="H251">
        <v>17</v>
      </c>
      <c r="I251">
        <v>1</v>
      </c>
      <c r="J251">
        <v>2</v>
      </c>
      <c r="K251" t="s">
        <v>127</v>
      </c>
      <c r="L251" t="s">
        <v>111</v>
      </c>
      <c r="M251" t="s">
        <v>120</v>
      </c>
      <c r="N251">
        <v>7</v>
      </c>
    </row>
    <row r="252" spans="2:14" x14ac:dyDescent="0.3">
      <c r="B252">
        <v>251</v>
      </c>
      <c r="C252" t="s">
        <v>137</v>
      </c>
      <c r="D252" t="s">
        <v>12</v>
      </c>
      <c r="E252" t="s">
        <v>14</v>
      </c>
      <c r="F252" t="s">
        <v>22</v>
      </c>
      <c r="G252" t="s">
        <v>32</v>
      </c>
      <c r="H252">
        <v>30</v>
      </c>
      <c r="I252">
        <v>1</v>
      </c>
      <c r="J252">
        <v>1</v>
      </c>
      <c r="K252" t="s">
        <v>127</v>
      </c>
      <c r="L252" t="s">
        <v>111</v>
      </c>
      <c r="M252" t="s">
        <v>120</v>
      </c>
      <c r="N252">
        <v>7</v>
      </c>
    </row>
    <row r="253" spans="2:14" x14ac:dyDescent="0.3">
      <c r="B253">
        <v>252</v>
      </c>
      <c r="C253" t="s">
        <v>138</v>
      </c>
      <c r="D253" t="s">
        <v>13</v>
      </c>
      <c r="E253" t="s">
        <v>14</v>
      </c>
      <c r="F253" t="s">
        <v>22</v>
      </c>
      <c r="G253" t="s">
        <v>32</v>
      </c>
      <c r="H253">
        <v>17</v>
      </c>
      <c r="I253">
        <v>1</v>
      </c>
      <c r="J253">
        <v>0</v>
      </c>
      <c r="K253" t="s">
        <v>127</v>
      </c>
      <c r="L253" t="s">
        <v>111</v>
      </c>
      <c r="M253" t="s">
        <v>120</v>
      </c>
      <c r="N253">
        <v>7</v>
      </c>
    </row>
    <row r="254" spans="2:14" x14ac:dyDescent="0.3">
      <c r="B254">
        <v>253</v>
      </c>
      <c r="C254" t="s">
        <v>139</v>
      </c>
      <c r="D254" t="s">
        <v>13</v>
      </c>
      <c r="E254" t="s">
        <v>16</v>
      </c>
      <c r="F254" t="s">
        <v>24</v>
      </c>
      <c r="G254" t="s">
        <v>33</v>
      </c>
      <c r="H254">
        <v>16</v>
      </c>
      <c r="I254">
        <v>1</v>
      </c>
      <c r="J254">
        <v>0</v>
      </c>
      <c r="K254" t="s">
        <v>127</v>
      </c>
      <c r="L254" t="s">
        <v>111</v>
      </c>
      <c r="M254" t="s">
        <v>120</v>
      </c>
      <c r="N254">
        <v>7</v>
      </c>
    </row>
    <row r="255" spans="2:14" x14ac:dyDescent="0.3">
      <c r="B255">
        <v>254</v>
      </c>
      <c r="C255" t="s">
        <v>140</v>
      </c>
      <c r="D255" t="s">
        <v>12</v>
      </c>
      <c r="E255" t="s">
        <v>14</v>
      </c>
      <c r="F255" t="s">
        <v>22</v>
      </c>
      <c r="G255" t="s">
        <v>32</v>
      </c>
      <c r="H255">
        <v>30</v>
      </c>
      <c r="I255">
        <v>1</v>
      </c>
      <c r="J255">
        <v>1</v>
      </c>
      <c r="K255" t="s">
        <v>127</v>
      </c>
      <c r="L255" t="s">
        <v>111</v>
      </c>
      <c r="M255" t="s">
        <v>120</v>
      </c>
      <c r="N255">
        <v>7</v>
      </c>
    </row>
    <row r="256" spans="2:14" x14ac:dyDescent="0.3">
      <c r="B256">
        <v>255</v>
      </c>
      <c r="C256" t="s">
        <v>141</v>
      </c>
      <c r="D256" t="s">
        <v>12</v>
      </c>
      <c r="E256" t="s">
        <v>16</v>
      </c>
      <c r="F256" t="s">
        <v>24</v>
      </c>
      <c r="G256" t="s">
        <v>33</v>
      </c>
      <c r="H256">
        <v>22</v>
      </c>
      <c r="I256">
        <v>3</v>
      </c>
      <c r="J256">
        <v>0</v>
      </c>
      <c r="K256" t="s">
        <v>127</v>
      </c>
      <c r="L256" t="s">
        <v>111</v>
      </c>
      <c r="M256" t="s">
        <v>120</v>
      </c>
      <c r="N256">
        <v>7</v>
      </c>
    </row>
    <row r="257" spans="2:14" x14ac:dyDescent="0.3">
      <c r="B257">
        <v>256</v>
      </c>
      <c r="C257" t="s">
        <v>142</v>
      </c>
      <c r="D257" t="s">
        <v>10</v>
      </c>
      <c r="E257" t="s">
        <v>16</v>
      </c>
      <c r="F257" t="s">
        <v>24</v>
      </c>
      <c r="G257" t="s">
        <v>33</v>
      </c>
      <c r="H257">
        <v>102</v>
      </c>
      <c r="I257">
        <v>1</v>
      </c>
      <c r="J257">
        <v>1</v>
      </c>
      <c r="K257" t="s">
        <v>127</v>
      </c>
      <c r="L257" t="s">
        <v>111</v>
      </c>
      <c r="M257" t="s">
        <v>120</v>
      </c>
      <c r="N257">
        <v>7</v>
      </c>
    </row>
    <row r="258" spans="2:14" x14ac:dyDescent="0.3">
      <c r="B258">
        <v>257</v>
      </c>
      <c r="C258" t="s">
        <v>143</v>
      </c>
      <c r="D258" t="s">
        <v>10</v>
      </c>
      <c r="E258" t="s">
        <v>16</v>
      </c>
      <c r="F258" t="s">
        <v>24</v>
      </c>
      <c r="G258" t="s">
        <v>33</v>
      </c>
      <c r="H258">
        <v>99</v>
      </c>
      <c r="I258">
        <v>4</v>
      </c>
      <c r="J258">
        <v>1</v>
      </c>
      <c r="K258" t="s">
        <v>127</v>
      </c>
      <c r="L258" t="s">
        <v>111</v>
      </c>
      <c r="M258" t="s">
        <v>120</v>
      </c>
      <c r="N258">
        <v>7</v>
      </c>
    </row>
    <row r="259" spans="2:14" x14ac:dyDescent="0.3">
      <c r="B259">
        <v>258</v>
      </c>
      <c r="C259" t="s">
        <v>144</v>
      </c>
      <c r="D259" t="s">
        <v>13</v>
      </c>
      <c r="E259" t="s">
        <v>14</v>
      </c>
      <c r="F259" t="s">
        <v>22</v>
      </c>
      <c r="G259" t="s">
        <v>32</v>
      </c>
      <c r="H259">
        <v>15</v>
      </c>
      <c r="I259">
        <v>1</v>
      </c>
      <c r="J259">
        <v>0</v>
      </c>
      <c r="K259" t="s">
        <v>127</v>
      </c>
      <c r="L259" t="s">
        <v>111</v>
      </c>
      <c r="M259" t="s">
        <v>120</v>
      </c>
      <c r="N259">
        <v>7</v>
      </c>
    </row>
    <row r="260" spans="2:14" x14ac:dyDescent="0.3">
      <c r="B260">
        <v>259</v>
      </c>
      <c r="C260" t="s">
        <v>145</v>
      </c>
      <c r="D260" t="s">
        <v>10</v>
      </c>
      <c r="E260" t="s">
        <v>14</v>
      </c>
      <c r="F260" t="s">
        <v>22</v>
      </c>
      <c r="G260" t="s">
        <v>32</v>
      </c>
      <c r="H260">
        <v>97</v>
      </c>
      <c r="I260">
        <v>5</v>
      </c>
      <c r="J260">
        <v>1</v>
      </c>
      <c r="K260" t="s">
        <v>127</v>
      </c>
      <c r="L260" t="s">
        <v>111</v>
      </c>
      <c r="M260" t="s">
        <v>120</v>
      </c>
      <c r="N260">
        <v>7</v>
      </c>
    </row>
    <row r="261" spans="2:14" x14ac:dyDescent="0.3">
      <c r="B261">
        <v>260</v>
      </c>
      <c r="C261" t="s">
        <v>146</v>
      </c>
      <c r="D261" t="s">
        <v>10</v>
      </c>
      <c r="E261" t="s">
        <v>16</v>
      </c>
      <c r="F261" t="s">
        <v>24</v>
      </c>
      <c r="G261" t="s">
        <v>33</v>
      </c>
      <c r="H261">
        <v>93</v>
      </c>
      <c r="I261">
        <v>1</v>
      </c>
      <c r="J261">
        <v>1</v>
      </c>
      <c r="K261" t="s">
        <v>127</v>
      </c>
      <c r="L261" t="s">
        <v>111</v>
      </c>
      <c r="M261" t="s">
        <v>120</v>
      </c>
      <c r="N261">
        <v>7</v>
      </c>
    </row>
    <row r="262" spans="2:14" x14ac:dyDescent="0.3">
      <c r="B262">
        <v>261</v>
      </c>
      <c r="C262" t="s">
        <v>147</v>
      </c>
      <c r="D262" t="s">
        <v>10</v>
      </c>
      <c r="E262" t="s">
        <v>16</v>
      </c>
      <c r="F262" t="s">
        <v>24</v>
      </c>
      <c r="G262" t="s">
        <v>33</v>
      </c>
      <c r="H262">
        <v>85</v>
      </c>
      <c r="I262">
        <v>3</v>
      </c>
      <c r="J262">
        <v>1</v>
      </c>
      <c r="K262" t="s">
        <v>127</v>
      </c>
      <c r="L262" t="s">
        <v>111</v>
      </c>
      <c r="M262" t="s">
        <v>120</v>
      </c>
      <c r="N262">
        <v>7</v>
      </c>
    </row>
    <row r="263" spans="2:14" x14ac:dyDescent="0.3">
      <c r="B263">
        <v>262</v>
      </c>
      <c r="C263" t="s">
        <v>148</v>
      </c>
      <c r="D263" t="s">
        <v>13</v>
      </c>
      <c r="E263" t="s">
        <v>16</v>
      </c>
      <c r="F263" t="s">
        <v>24</v>
      </c>
      <c r="G263" t="s">
        <v>33</v>
      </c>
      <c r="H263">
        <v>13</v>
      </c>
      <c r="I263">
        <v>3</v>
      </c>
      <c r="J263">
        <v>1</v>
      </c>
      <c r="K263" t="s">
        <v>127</v>
      </c>
      <c r="L263" t="s">
        <v>111</v>
      </c>
      <c r="M263" t="s">
        <v>120</v>
      </c>
      <c r="N263">
        <v>7</v>
      </c>
    </row>
    <row r="264" spans="2:14" x14ac:dyDescent="0.3">
      <c r="B264">
        <v>263</v>
      </c>
      <c r="C264" t="s">
        <v>149</v>
      </c>
      <c r="D264" t="s">
        <v>12</v>
      </c>
      <c r="E264" t="s">
        <v>14</v>
      </c>
      <c r="F264" t="s">
        <v>22</v>
      </c>
      <c r="G264" t="s">
        <v>32</v>
      </c>
      <c r="H264">
        <v>30</v>
      </c>
      <c r="I264">
        <v>1</v>
      </c>
      <c r="J264">
        <v>0</v>
      </c>
      <c r="K264" t="s">
        <v>127</v>
      </c>
      <c r="L264" t="s">
        <v>111</v>
      </c>
      <c r="M264" t="s">
        <v>120</v>
      </c>
      <c r="N264">
        <v>7</v>
      </c>
    </row>
    <row r="265" spans="2:14" x14ac:dyDescent="0.3">
      <c r="B265">
        <v>264</v>
      </c>
      <c r="C265" t="s">
        <v>150</v>
      </c>
      <c r="D265" t="s">
        <v>11</v>
      </c>
      <c r="E265" t="s">
        <v>16</v>
      </c>
      <c r="F265" t="s">
        <v>24</v>
      </c>
      <c r="G265" t="s">
        <v>33</v>
      </c>
      <c r="H265">
        <v>50</v>
      </c>
      <c r="I265">
        <v>5</v>
      </c>
      <c r="J265">
        <v>1</v>
      </c>
      <c r="K265" t="s">
        <v>127</v>
      </c>
      <c r="L265" t="s">
        <v>111</v>
      </c>
      <c r="M265" t="s">
        <v>120</v>
      </c>
      <c r="N265">
        <v>7</v>
      </c>
    </row>
    <row r="266" spans="2:14" x14ac:dyDescent="0.3">
      <c r="B266">
        <v>265</v>
      </c>
      <c r="C266" t="s">
        <v>151</v>
      </c>
      <c r="D266" t="s">
        <v>9</v>
      </c>
      <c r="E266" t="s">
        <v>14</v>
      </c>
      <c r="F266" t="s">
        <v>22</v>
      </c>
      <c r="G266" t="s">
        <v>32</v>
      </c>
      <c r="H266">
        <v>120</v>
      </c>
      <c r="I266">
        <v>2</v>
      </c>
      <c r="J266">
        <v>1</v>
      </c>
      <c r="K266" t="s">
        <v>127</v>
      </c>
      <c r="L266" t="s">
        <v>111</v>
      </c>
      <c r="M266" t="s">
        <v>120</v>
      </c>
      <c r="N266">
        <v>7</v>
      </c>
    </row>
    <row r="267" spans="2:14" x14ac:dyDescent="0.3">
      <c r="B267">
        <v>266</v>
      </c>
      <c r="C267" t="s">
        <v>152</v>
      </c>
      <c r="D267" t="s">
        <v>11</v>
      </c>
      <c r="E267" t="s">
        <v>14</v>
      </c>
      <c r="F267" t="s">
        <v>22</v>
      </c>
      <c r="G267" t="s">
        <v>32</v>
      </c>
      <c r="H267">
        <v>50</v>
      </c>
      <c r="I267">
        <v>1</v>
      </c>
      <c r="J267">
        <v>1</v>
      </c>
      <c r="K267" t="s">
        <v>127</v>
      </c>
      <c r="L267" t="s">
        <v>111</v>
      </c>
      <c r="M267" t="s">
        <v>120</v>
      </c>
      <c r="N267">
        <v>7</v>
      </c>
    </row>
    <row r="268" spans="2:14" x14ac:dyDescent="0.3">
      <c r="B268">
        <v>267</v>
      </c>
      <c r="C268" t="s">
        <v>153</v>
      </c>
      <c r="D268" t="s">
        <v>12</v>
      </c>
      <c r="E268" t="s">
        <v>16</v>
      </c>
      <c r="F268" t="s">
        <v>24</v>
      </c>
      <c r="G268" t="s">
        <v>33</v>
      </c>
      <c r="H268">
        <v>33</v>
      </c>
      <c r="I268">
        <v>1</v>
      </c>
      <c r="J268">
        <v>1</v>
      </c>
      <c r="K268" t="s">
        <v>127</v>
      </c>
      <c r="L268" t="s">
        <v>111</v>
      </c>
      <c r="M268" t="s">
        <v>120</v>
      </c>
      <c r="N268">
        <v>7</v>
      </c>
    </row>
    <row r="269" spans="2:14" x14ac:dyDescent="0.3">
      <c r="B269">
        <v>268</v>
      </c>
      <c r="C269" t="s">
        <v>154</v>
      </c>
      <c r="D269" t="s">
        <v>10</v>
      </c>
      <c r="E269" t="s">
        <v>16</v>
      </c>
      <c r="F269" t="s">
        <v>24</v>
      </c>
      <c r="G269" t="s">
        <v>33</v>
      </c>
      <c r="H269">
        <v>88</v>
      </c>
      <c r="I269">
        <v>1</v>
      </c>
      <c r="J269">
        <v>0</v>
      </c>
      <c r="K269" t="s">
        <v>127</v>
      </c>
      <c r="L269" t="s">
        <v>111</v>
      </c>
      <c r="M269" t="s">
        <v>120</v>
      </c>
      <c r="N269">
        <v>7</v>
      </c>
    </row>
    <row r="270" spans="2:14" x14ac:dyDescent="0.3">
      <c r="B270">
        <v>269</v>
      </c>
      <c r="C270" t="s">
        <v>155</v>
      </c>
      <c r="D270" t="s">
        <v>9</v>
      </c>
      <c r="E270" t="s">
        <v>14</v>
      </c>
      <c r="F270" t="s">
        <v>22</v>
      </c>
      <c r="G270" t="s">
        <v>32</v>
      </c>
      <c r="H270">
        <v>120</v>
      </c>
      <c r="I270">
        <v>3</v>
      </c>
      <c r="J270">
        <v>1</v>
      </c>
      <c r="K270" t="s">
        <v>127</v>
      </c>
      <c r="L270" t="s">
        <v>111</v>
      </c>
      <c r="M270" t="s">
        <v>120</v>
      </c>
      <c r="N270">
        <v>7</v>
      </c>
    </row>
    <row r="271" spans="2:14" x14ac:dyDescent="0.3">
      <c r="B271">
        <v>270</v>
      </c>
      <c r="C271" t="s">
        <v>156</v>
      </c>
      <c r="D271" t="s">
        <v>12</v>
      </c>
      <c r="E271" t="s">
        <v>16</v>
      </c>
      <c r="F271" t="s">
        <v>24</v>
      </c>
      <c r="G271" t="s">
        <v>33</v>
      </c>
      <c r="H271">
        <v>21</v>
      </c>
      <c r="I271">
        <v>2</v>
      </c>
      <c r="J271">
        <v>1</v>
      </c>
      <c r="K271" t="s">
        <v>127</v>
      </c>
      <c r="L271" t="s">
        <v>111</v>
      </c>
      <c r="M271" t="s">
        <v>120</v>
      </c>
      <c r="N271">
        <v>7</v>
      </c>
    </row>
    <row r="272" spans="2:14" x14ac:dyDescent="0.3">
      <c r="B272">
        <v>271</v>
      </c>
      <c r="C272" t="s">
        <v>157</v>
      </c>
      <c r="D272" t="s">
        <v>9</v>
      </c>
      <c r="E272" t="s">
        <v>14</v>
      </c>
      <c r="F272" t="s">
        <v>22</v>
      </c>
      <c r="G272" t="s">
        <v>32</v>
      </c>
      <c r="H272">
        <v>120</v>
      </c>
      <c r="I272">
        <v>1</v>
      </c>
      <c r="J272">
        <v>0</v>
      </c>
      <c r="K272" t="s">
        <v>127</v>
      </c>
      <c r="L272" t="s">
        <v>111</v>
      </c>
      <c r="M272" t="s">
        <v>120</v>
      </c>
      <c r="N272">
        <v>7</v>
      </c>
    </row>
    <row r="273" spans="2:14" x14ac:dyDescent="0.3">
      <c r="B273">
        <v>272</v>
      </c>
      <c r="C273" t="s">
        <v>158</v>
      </c>
      <c r="D273" t="s">
        <v>12</v>
      </c>
      <c r="E273" t="s">
        <v>19</v>
      </c>
      <c r="F273" t="s">
        <v>28</v>
      </c>
      <c r="G273" t="s">
        <v>34</v>
      </c>
      <c r="H273">
        <v>30</v>
      </c>
      <c r="I273">
        <v>2</v>
      </c>
      <c r="J273">
        <v>1</v>
      </c>
      <c r="K273" t="s">
        <v>127</v>
      </c>
      <c r="L273" t="s">
        <v>111</v>
      </c>
      <c r="M273" t="s">
        <v>121</v>
      </c>
      <c r="N273">
        <v>8</v>
      </c>
    </row>
    <row r="274" spans="2:14" x14ac:dyDescent="0.3">
      <c r="B274">
        <v>273</v>
      </c>
      <c r="C274" t="s">
        <v>159</v>
      </c>
      <c r="D274" t="s">
        <v>13</v>
      </c>
      <c r="E274" t="s">
        <v>16</v>
      </c>
      <c r="F274" t="s">
        <v>24</v>
      </c>
      <c r="G274" t="s">
        <v>33</v>
      </c>
      <c r="H274">
        <v>14</v>
      </c>
      <c r="I274">
        <v>4</v>
      </c>
      <c r="J274">
        <v>1</v>
      </c>
      <c r="K274" t="s">
        <v>127</v>
      </c>
      <c r="L274" t="s">
        <v>111</v>
      </c>
      <c r="M274" t="s">
        <v>121</v>
      </c>
      <c r="N274">
        <v>8</v>
      </c>
    </row>
    <row r="275" spans="2:14" x14ac:dyDescent="0.3">
      <c r="B275">
        <v>274</v>
      </c>
      <c r="C275" t="s">
        <v>160</v>
      </c>
      <c r="D275" t="s">
        <v>12</v>
      </c>
      <c r="E275" t="s">
        <v>14</v>
      </c>
      <c r="F275" t="s">
        <v>22</v>
      </c>
      <c r="G275" t="s">
        <v>32</v>
      </c>
      <c r="H275">
        <v>21</v>
      </c>
      <c r="I275">
        <v>2</v>
      </c>
      <c r="J275">
        <v>0</v>
      </c>
      <c r="K275" t="s">
        <v>127</v>
      </c>
      <c r="L275" t="s">
        <v>111</v>
      </c>
      <c r="M275" t="s">
        <v>121</v>
      </c>
      <c r="N275">
        <v>8</v>
      </c>
    </row>
    <row r="276" spans="2:14" x14ac:dyDescent="0.3">
      <c r="B276">
        <v>275</v>
      </c>
      <c r="C276" t="s">
        <v>161</v>
      </c>
      <c r="D276" t="s">
        <v>11</v>
      </c>
      <c r="E276" t="s">
        <v>16</v>
      </c>
      <c r="F276" t="s">
        <v>24</v>
      </c>
      <c r="G276" t="s">
        <v>33</v>
      </c>
      <c r="H276">
        <v>43</v>
      </c>
      <c r="I276">
        <v>1</v>
      </c>
      <c r="J276">
        <v>2</v>
      </c>
      <c r="K276" t="s">
        <v>127</v>
      </c>
      <c r="L276" t="s">
        <v>111</v>
      </c>
      <c r="M276" t="s">
        <v>121</v>
      </c>
      <c r="N276">
        <v>8</v>
      </c>
    </row>
    <row r="277" spans="2:14" x14ac:dyDescent="0.3">
      <c r="B277">
        <v>276</v>
      </c>
      <c r="C277" t="s">
        <v>162</v>
      </c>
      <c r="D277" t="s">
        <v>10</v>
      </c>
      <c r="E277" t="s">
        <v>14</v>
      </c>
      <c r="F277" t="s">
        <v>22</v>
      </c>
      <c r="G277" t="s">
        <v>32</v>
      </c>
      <c r="H277">
        <v>90</v>
      </c>
      <c r="I277">
        <v>2</v>
      </c>
      <c r="J277">
        <v>1</v>
      </c>
      <c r="K277" t="s">
        <v>127</v>
      </c>
      <c r="L277" t="s">
        <v>111</v>
      </c>
      <c r="M277" t="s">
        <v>121</v>
      </c>
      <c r="N277">
        <v>8</v>
      </c>
    </row>
    <row r="278" spans="2:14" x14ac:dyDescent="0.3">
      <c r="B278">
        <v>277</v>
      </c>
      <c r="C278" t="s">
        <v>163</v>
      </c>
      <c r="D278" t="s">
        <v>11</v>
      </c>
      <c r="E278" t="s">
        <v>19</v>
      </c>
      <c r="F278" t="s">
        <v>28</v>
      </c>
      <c r="G278" t="s">
        <v>34</v>
      </c>
      <c r="H278">
        <v>50</v>
      </c>
      <c r="I278">
        <v>3</v>
      </c>
      <c r="J278">
        <v>1</v>
      </c>
      <c r="K278" t="s">
        <v>127</v>
      </c>
      <c r="L278" t="s">
        <v>111</v>
      </c>
      <c r="M278" t="s">
        <v>121</v>
      </c>
      <c r="N278">
        <v>8</v>
      </c>
    </row>
    <row r="279" spans="2:14" x14ac:dyDescent="0.3">
      <c r="B279">
        <v>278</v>
      </c>
      <c r="C279" t="s">
        <v>164</v>
      </c>
      <c r="D279" t="s">
        <v>12</v>
      </c>
      <c r="E279" t="s">
        <v>14</v>
      </c>
      <c r="F279" t="s">
        <v>22</v>
      </c>
      <c r="G279" t="s">
        <v>32</v>
      </c>
      <c r="H279">
        <v>32</v>
      </c>
      <c r="I279">
        <v>1</v>
      </c>
      <c r="J279">
        <v>1</v>
      </c>
      <c r="K279" t="s">
        <v>127</v>
      </c>
      <c r="L279" t="s">
        <v>111</v>
      </c>
      <c r="M279" t="s">
        <v>121</v>
      </c>
      <c r="N279">
        <v>8</v>
      </c>
    </row>
    <row r="280" spans="2:14" x14ac:dyDescent="0.3">
      <c r="B280">
        <v>279</v>
      </c>
      <c r="C280" t="s">
        <v>165</v>
      </c>
      <c r="D280" t="s">
        <v>10</v>
      </c>
      <c r="E280" t="s">
        <v>16</v>
      </c>
      <c r="F280" t="s">
        <v>24</v>
      </c>
      <c r="G280" t="s">
        <v>33</v>
      </c>
      <c r="H280">
        <v>102</v>
      </c>
      <c r="I280">
        <v>1</v>
      </c>
      <c r="J280">
        <v>0</v>
      </c>
      <c r="K280" t="s">
        <v>127</v>
      </c>
      <c r="L280" t="s">
        <v>111</v>
      </c>
      <c r="M280" t="s">
        <v>121</v>
      </c>
      <c r="N280">
        <v>8</v>
      </c>
    </row>
    <row r="281" spans="2:14" x14ac:dyDescent="0.3">
      <c r="B281">
        <v>280</v>
      </c>
      <c r="C281" t="s">
        <v>166</v>
      </c>
      <c r="D281" t="s">
        <v>11</v>
      </c>
      <c r="E281" t="s">
        <v>14</v>
      </c>
      <c r="F281" t="s">
        <v>22</v>
      </c>
      <c r="G281" t="s">
        <v>32</v>
      </c>
      <c r="H281">
        <v>50</v>
      </c>
      <c r="I281">
        <v>1</v>
      </c>
      <c r="J281">
        <v>0</v>
      </c>
      <c r="K281" t="s">
        <v>127</v>
      </c>
      <c r="L281" t="s">
        <v>111</v>
      </c>
      <c r="M281" t="s">
        <v>121</v>
      </c>
      <c r="N281">
        <v>8</v>
      </c>
    </row>
    <row r="282" spans="2:14" x14ac:dyDescent="0.3">
      <c r="B282">
        <v>281</v>
      </c>
      <c r="C282" t="s">
        <v>167</v>
      </c>
      <c r="D282" t="s">
        <v>11</v>
      </c>
      <c r="E282" t="s">
        <v>16</v>
      </c>
      <c r="F282" t="s">
        <v>24</v>
      </c>
      <c r="G282" t="s">
        <v>33</v>
      </c>
      <c r="H282">
        <v>45</v>
      </c>
      <c r="I282">
        <v>5</v>
      </c>
      <c r="J282">
        <v>2</v>
      </c>
      <c r="K282" t="s">
        <v>127</v>
      </c>
      <c r="L282" t="s">
        <v>111</v>
      </c>
      <c r="M282" t="s">
        <v>121</v>
      </c>
      <c r="N282">
        <v>8</v>
      </c>
    </row>
    <row r="283" spans="2:14" x14ac:dyDescent="0.3">
      <c r="B283">
        <v>282</v>
      </c>
      <c r="C283" t="s">
        <v>168</v>
      </c>
      <c r="D283" t="s">
        <v>13</v>
      </c>
      <c r="E283" t="s">
        <v>14</v>
      </c>
      <c r="F283" t="s">
        <v>22</v>
      </c>
      <c r="G283" t="s">
        <v>32</v>
      </c>
      <c r="H283">
        <v>13</v>
      </c>
      <c r="I283">
        <v>2</v>
      </c>
      <c r="J283">
        <v>0</v>
      </c>
      <c r="K283" t="s">
        <v>127</v>
      </c>
      <c r="L283" t="s">
        <v>111</v>
      </c>
      <c r="M283" t="s">
        <v>121</v>
      </c>
      <c r="N283">
        <v>8</v>
      </c>
    </row>
    <row r="284" spans="2:14" x14ac:dyDescent="0.3">
      <c r="B284">
        <v>283</v>
      </c>
      <c r="C284" t="s">
        <v>169</v>
      </c>
      <c r="D284" t="s">
        <v>13</v>
      </c>
      <c r="E284" t="s">
        <v>16</v>
      </c>
      <c r="F284" t="s">
        <v>24</v>
      </c>
      <c r="G284" t="s">
        <v>33</v>
      </c>
      <c r="H284">
        <v>13</v>
      </c>
      <c r="I284">
        <v>3</v>
      </c>
      <c r="J284">
        <v>1</v>
      </c>
      <c r="K284" t="s">
        <v>127</v>
      </c>
      <c r="L284" t="s">
        <v>111</v>
      </c>
      <c r="M284" t="s">
        <v>121</v>
      </c>
      <c r="N284">
        <v>8</v>
      </c>
    </row>
    <row r="285" spans="2:14" x14ac:dyDescent="0.3">
      <c r="B285">
        <v>284</v>
      </c>
      <c r="C285" t="s">
        <v>170</v>
      </c>
      <c r="D285" t="s">
        <v>10</v>
      </c>
      <c r="E285" t="s">
        <v>14</v>
      </c>
      <c r="F285" t="s">
        <v>22</v>
      </c>
      <c r="G285" t="s">
        <v>32</v>
      </c>
      <c r="H285">
        <v>100</v>
      </c>
      <c r="I285">
        <v>1</v>
      </c>
      <c r="J285">
        <v>2</v>
      </c>
      <c r="K285" t="s">
        <v>127</v>
      </c>
      <c r="L285" t="s">
        <v>111</v>
      </c>
      <c r="M285" t="s">
        <v>121</v>
      </c>
      <c r="N285">
        <v>8</v>
      </c>
    </row>
    <row r="286" spans="2:14" x14ac:dyDescent="0.3">
      <c r="B286">
        <v>285</v>
      </c>
      <c r="C286" t="s">
        <v>171</v>
      </c>
      <c r="D286" t="s">
        <v>11</v>
      </c>
      <c r="E286" t="s">
        <v>14</v>
      </c>
      <c r="F286" t="s">
        <v>22</v>
      </c>
      <c r="G286" t="s">
        <v>32</v>
      </c>
      <c r="H286">
        <v>50</v>
      </c>
      <c r="I286">
        <v>1</v>
      </c>
      <c r="J286">
        <v>0</v>
      </c>
      <c r="K286" t="s">
        <v>127</v>
      </c>
      <c r="L286" t="s">
        <v>111</v>
      </c>
      <c r="M286" t="s">
        <v>121</v>
      </c>
      <c r="N286">
        <v>8</v>
      </c>
    </row>
    <row r="287" spans="2:14" x14ac:dyDescent="0.3">
      <c r="B287">
        <v>286</v>
      </c>
      <c r="C287" t="s">
        <v>172</v>
      </c>
      <c r="D287" t="s">
        <v>11</v>
      </c>
      <c r="E287" t="s">
        <v>19</v>
      </c>
      <c r="F287" t="s">
        <v>28</v>
      </c>
      <c r="G287" t="s">
        <v>34</v>
      </c>
      <c r="H287">
        <v>50</v>
      </c>
      <c r="I287">
        <v>1</v>
      </c>
      <c r="J287">
        <v>0</v>
      </c>
      <c r="K287" t="s">
        <v>127</v>
      </c>
      <c r="L287" t="s">
        <v>111</v>
      </c>
      <c r="M287" t="s">
        <v>121</v>
      </c>
      <c r="N287">
        <v>8</v>
      </c>
    </row>
    <row r="288" spans="2:14" x14ac:dyDescent="0.3">
      <c r="B288">
        <v>287</v>
      </c>
      <c r="C288" t="s">
        <v>173</v>
      </c>
      <c r="D288" t="s">
        <v>9</v>
      </c>
      <c r="E288" t="s">
        <v>14</v>
      </c>
      <c r="F288" t="s">
        <v>22</v>
      </c>
      <c r="G288" t="s">
        <v>32</v>
      </c>
      <c r="H288">
        <v>120</v>
      </c>
      <c r="I288">
        <v>1</v>
      </c>
      <c r="J288">
        <v>0</v>
      </c>
      <c r="K288" t="s">
        <v>127</v>
      </c>
      <c r="L288" t="s">
        <v>111</v>
      </c>
      <c r="M288" t="s">
        <v>121</v>
      </c>
      <c r="N288">
        <v>8</v>
      </c>
    </row>
    <row r="289" spans="2:14" x14ac:dyDescent="0.3">
      <c r="B289">
        <v>288</v>
      </c>
      <c r="C289" t="s">
        <v>174</v>
      </c>
      <c r="D289" t="s">
        <v>13</v>
      </c>
      <c r="E289" t="s">
        <v>14</v>
      </c>
      <c r="F289" t="s">
        <v>22</v>
      </c>
      <c r="G289" t="s">
        <v>32</v>
      </c>
      <c r="H289">
        <v>30</v>
      </c>
      <c r="I289">
        <v>1</v>
      </c>
      <c r="J289">
        <v>1</v>
      </c>
      <c r="K289" t="s">
        <v>127</v>
      </c>
      <c r="L289" t="s">
        <v>111</v>
      </c>
      <c r="M289" t="s">
        <v>121</v>
      </c>
      <c r="N289">
        <v>8</v>
      </c>
    </row>
    <row r="290" spans="2:14" x14ac:dyDescent="0.3">
      <c r="B290">
        <v>289</v>
      </c>
      <c r="C290" t="s">
        <v>175</v>
      </c>
      <c r="D290" t="s">
        <v>12</v>
      </c>
      <c r="E290" t="s">
        <v>19</v>
      </c>
      <c r="F290" t="s">
        <v>28</v>
      </c>
      <c r="G290" t="s">
        <v>34</v>
      </c>
      <c r="H290">
        <v>30</v>
      </c>
      <c r="I290">
        <v>2</v>
      </c>
      <c r="J290">
        <v>1</v>
      </c>
      <c r="K290" t="s">
        <v>127</v>
      </c>
      <c r="L290" t="s">
        <v>111</v>
      </c>
      <c r="M290" t="s">
        <v>121</v>
      </c>
      <c r="N290">
        <v>8</v>
      </c>
    </row>
    <row r="291" spans="2:14" x14ac:dyDescent="0.3">
      <c r="B291">
        <v>290</v>
      </c>
      <c r="C291" t="s">
        <v>176</v>
      </c>
      <c r="D291" t="s">
        <v>13</v>
      </c>
      <c r="E291" t="s">
        <v>14</v>
      </c>
      <c r="F291" t="s">
        <v>22</v>
      </c>
      <c r="G291" t="s">
        <v>32</v>
      </c>
      <c r="H291">
        <v>29</v>
      </c>
      <c r="I291">
        <v>1</v>
      </c>
      <c r="J291">
        <v>0</v>
      </c>
      <c r="K291" t="s">
        <v>127</v>
      </c>
      <c r="L291" t="s">
        <v>111</v>
      </c>
      <c r="M291" t="s">
        <v>121</v>
      </c>
      <c r="N291">
        <v>8</v>
      </c>
    </row>
    <row r="292" spans="2:14" x14ac:dyDescent="0.3">
      <c r="B292">
        <v>291</v>
      </c>
      <c r="C292" t="s">
        <v>177</v>
      </c>
      <c r="D292" t="s">
        <v>12</v>
      </c>
      <c r="E292" t="s">
        <v>16</v>
      </c>
      <c r="F292" t="s">
        <v>24</v>
      </c>
      <c r="G292" t="s">
        <v>33</v>
      </c>
      <c r="H292">
        <v>21</v>
      </c>
      <c r="I292">
        <v>2</v>
      </c>
      <c r="J292">
        <v>1</v>
      </c>
      <c r="K292" t="s">
        <v>127</v>
      </c>
      <c r="L292" t="s">
        <v>111</v>
      </c>
      <c r="M292" t="s">
        <v>121</v>
      </c>
      <c r="N292">
        <v>8</v>
      </c>
    </row>
    <row r="293" spans="2:14" x14ac:dyDescent="0.3">
      <c r="B293">
        <v>292</v>
      </c>
      <c r="C293" t="s">
        <v>178</v>
      </c>
      <c r="D293" t="s">
        <v>9</v>
      </c>
      <c r="E293" t="s">
        <v>16</v>
      </c>
      <c r="F293" t="s">
        <v>24</v>
      </c>
      <c r="G293" t="s">
        <v>33</v>
      </c>
      <c r="H293">
        <v>120</v>
      </c>
      <c r="I293">
        <v>1</v>
      </c>
      <c r="J293">
        <v>0</v>
      </c>
      <c r="K293" t="s">
        <v>127</v>
      </c>
      <c r="L293" t="s">
        <v>111</v>
      </c>
      <c r="M293" t="s">
        <v>121</v>
      </c>
      <c r="N293">
        <v>8</v>
      </c>
    </row>
    <row r="294" spans="2:14" x14ac:dyDescent="0.3">
      <c r="B294">
        <v>293</v>
      </c>
      <c r="C294" t="s">
        <v>179</v>
      </c>
      <c r="D294" t="s">
        <v>9</v>
      </c>
      <c r="E294" t="s">
        <v>19</v>
      </c>
      <c r="F294" t="s">
        <v>28</v>
      </c>
      <c r="G294" t="s">
        <v>34</v>
      </c>
      <c r="H294">
        <v>120</v>
      </c>
      <c r="I294">
        <v>5</v>
      </c>
      <c r="J294">
        <v>0</v>
      </c>
      <c r="K294" t="s">
        <v>127</v>
      </c>
      <c r="L294" t="s">
        <v>111</v>
      </c>
      <c r="M294" t="s">
        <v>121</v>
      </c>
      <c r="N294">
        <v>8</v>
      </c>
    </row>
    <row r="295" spans="2:14" x14ac:dyDescent="0.3">
      <c r="B295">
        <v>294</v>
      </c>
      <c r="C295" t="s">
        <v>180</v>
      </c>
      <c r="D295" t="s">
        <v>12</v>
      </c>
      <c r="E295" t="s">
        <v>14</v>
      </c>
      <c r="F295" t="s">
        <v>22</v>
      </c>
      <c r="G295" t="s">
        <v>32</v>
      </c>
      <c r="H295">
        <v>30</v>
      </c>
      <c r="I295">
        <v>2</v>
      </c>
      <c r="J295">
        <v>2</v>
      </c>
      <c r="K295" t="s">
        <v>127</v>
      </c>
      <c r="L295" t="s">
        <v>111</v>
      </c>
      <c r="M295" t="s">
        <v>121</v>
      </c>
      <c r="N295">
        <v>8</v>
      </c>
    </row>
    <row r="296" spans="2:14" x14ac:dyDescent="0.3">
      <c r="B296">
        <v>295</v>
      </c>
      <c r="C296" t="s">
        <v>181</v>
      </c>
      <c r="D296" t="s">
        <v>9</v>
      </c>
      <c r="E296" t="s">
        <v>19</v>
      </c>
      <c r="F296" t="s">
        <v>28</v>
      </c>
      <c r="G296" t="s">
        <v>34</v>
      </c>
      <c r="H296">
        <v>120</v>
      </c>
      <c r="I296">
        <v>1</v>
      </c>
      <c r="J296">
        <v>0</v>
      </c>
      <c r="K296" t="s">
        <v>127</v>
      </c>
      <c r="L296" t="s">
        <v>111</v>
      </c>
      <c r="M296" t="s">
        <v>121</v>
      </c>
      <c r="N296">
        <v>8</v>
      </c>
    </row>
    <row r="297" spans="2:14" x14ac:dyDescent="0.3">
      <c r="B297">
        <v>296</v>
      </c>
      <c r="C297" t="s">
        <v>182</v>
      </c>
      <c r="D297" t="s">
        <v>12</v>
      </c>
      <c r="E297" t="s">
        <v>16</v>
      </c>
      <c r="F297" t="s">
        <v>24</v>
      </c>
      <c r="G297" t="s">
        <v>33</v>
      </c>
      <c r="H297">
        <v>30</v>
      </c>
      <c r="I297">
        <v>3</v>
      </c>
      <c r="J297">
        <v>0</v>
      </c>
      <c r="K297" t="s">
        <v>127</v>
      </c>
      <c r="L297" t="s">
        <v>111</v>
      </c>
      <c r="M297" t="s">
        <v>121</v>
      </c>
      <c r="N297">
        <v>8</v>
      </c>
    </row>
    <row r="298" spans="2:14" x14ac:dyDescent="0.3">
      <c r="B298">
        <v>297</v>
      </c>
      <c r="C298" t="s">
        <v>183</v>
      </c>
      <c r="D298" t="s">
        <v>12</v>
      </c>
      <c r="E298" t="s">
        <v>19</v>
      </c>
      <c r="F298" t="s">
        <v>28</v>
      </c>
      <c r="G298" t="s">
        <v>34</v>
      </c>
      <c r="H298">
        <v>30</v>
      </c>
      <c r="I298">
        <v>1</v>
      </c>
      <c r="J298">
        <v>2</v>
      </c>
      <c r="K298" t="s">
        <v>127</v>
      </c>
      <c r="L298" t="s">
        <v>111</v>
      </c>
      <c r="M298" t="s">
        <v>121</v>
      </c>
      <c r="N298">
        <v>8</v>
      </c>
    </row>
    <row r="299" spans="2:14" x14ac:dyDescent="0.3">
      <c r="B299">
        <v>298</v>
      </c>
      <c r="C299" t="s">
        <v>184</v>
      </c>
      <c r="D299" t="s">
        <v>10</v>
      </c>
      <c r="E299" t="s">
        <v>14</v>
      </c>
      <c r="F299" t="s">
        <v>22</v>
      </c>
      <c r="G299" t="s">
        <v>32</v>
      </c>
      <c r="H299">
        <v>101</v>
      </c>
      <c r="I299">
        <v>2</v>
      </c>
      <c r="J299">
        <v>0</v>
      </c>
      <c r="K299" t="s">
        <v>127</v>
      </c>
      <c r="L299" t="s">
        <v>111</v>
      </c>
      <c r="M299" t="s">
        <v>121</v>
      </c>
      <c r="N299">
        <v>8</v>
      </c>
    </row>
    <row r="300" spans="2:14" x14ac:dyDescent="0.3">
      <c r="B300">
        <v>299</v>
      </c>
      <c r="C300" t="s">
        <v>185</v>
      </c>
      <c r="D300" t="s">
        <v>9</v>
      </c>
      <c r="E300" t="s">
        <v>14</v>
      </c>
      <c r="F300" t="s">
        <v>22</v>
      </c>
      <c r="G300" t="s">
        <v>32</v>
      </c>
      <c r="H300">
        <v>120</v>
      </c>
      <c r="I300">
        <v>1</v>
      </c>
      <c r="J300">
        <v>0</v>
      </c>
      <c r="K300" t="s">
        <v>127</v>
      </c>
      <c r="L300" t="s">
        <v>111</v>
      </c>
      <c r="M300" t="s">
        <v>121</v>
      </c>
      <c r="N300">
        <v>8</v>
      </c>
    </row>
    <row r="301" spans="2:14" x14ac:dyDescent="0.3">
      <c r="B301">
        <v>300</v>
      </c>
      <c r="C301" t="s">
        <v>186</v>
      </c>
      <c r="D301" t="s">
        <v>13</v>
      </c>
      <c r="E301" t="s">
        <v>19</v>
      </c>
      <c r="F301" t="s">
        <v>28</v>
      </c>
      <c r="G301" t="s">
        <v>34</v>
      </c>
      <c r="H301">
        <v>21</v>
      </c>
      <c r="I301">
        <v>1</v>
      </c>
      <c r="J301">
        <v>2</v>
      </c>
      <c r="K301" t="s">
        <v>127</v>
      </c>
      <c r="L301" t="s">
        <v>111</v>
      </c>
      <c r="M301" t="s">
        <v>121</v>
      </c>
      <c r="N301">
        <v>8</v>
      </c>
    </row>
    <row r="302" spans="2:14" x14ac:dyDescent="0.3">
      <c r="B302">
        <v>301</v>
      </c>
      <c r="C302" t="s">
        <v>187</v>
      </c>
      <c r="D302" t="s">
        <v>10</v>
      </c>
      <c r="E302" t="s">
        <v>14</v>
      </c>
      <c r="F302" t="s">
        <v>22</v>
      </c>
      <c r="G302" t="s">
        <v>32</v>
      </c>
      <c r="H302">
        <v>101</v>
      </c>
      <c r="I302">
        <v>2</v>
      </c>
      <c r="J302">
        <v>2</v>
      </c>
      <c r="K302" t="s">
        <v>127</v>
      </c>
      <c r="L302" t="s">
        <v>111</v>
      </c>
      <c r="M302" t="s">
        <v>121</v>
      </c>
      <c r="N302">
        <v>8</v>
      </c>
    </row>
    <row r="303" spans="2:14" x14ac:dyDescent="0.3">
      <c r="B303">
        <v>302</v>
      </c>
      <c r="C303" t="s">
        <v>188</v>
      </c>
      <c r="D303" t="s">
        <v>10</v>
      </c>
      <c r="E303" t="s">
        <v>19</v>
      </c>
      <c r="F303" t="s">
        <v>28</v>
      </c>
      <c r="G303" t="s">
        <v>34</v>
      </c>
      <c r="H303">
        <v>89</v>
      </c>
      <c r="I303">
        <v>1</v>
      </c>
      <c r="J303">
        <v>2</v>
      </c>
      <c r="K303" t="s">
        <v>127</v>
      </c>
      <c r="L303" t="s">
        <v>111</v>
      </c>
      <c r="M303" t="s">
        <v>121</v>
      </c>
      <c r="N303">
        <v>8</v>
      </c>
    </row>
    <row r="304" spans="2:14" x14ac:dyDescent="0.3">
      <c r="B304">
        <v>303</v>
      </c>
      <c r="C304" t="s">
        <v>189</v>
      </c>
      <c r="D304" t="s">
        <v>11</v>
      </c>
      <c r="E304" t="s">
        <v>19</v>
      </c>
      <c r="F304" t="s">
        <v>28</v>
      </c>
      <c r="G304" t="s">
        <v>34</v>
      </c>
      <c r="H304">
        <v>45</v>
      </c>
      <c r="I304">
        <v>2</v>
      </c>
      <c r="J304">
        <v>1</v>
      </c>
      <c r="K304" t="s">
        <v>127</v>
      </c>
      <c r="L304" t="s">
        <v>111</v>
      </c>
      <c r="M304" t="s">
        <v>122</v>
      </c>
      <c r="N304">
        <v>9</v>
      </c>
    </row>
    <row r="305" spans="2:14" x14ac:dyDescent="0.3">
      <c r="B305">
        <v>304</v>
      </c>
      <c r="C305" t="s">
        <v>190</v>
      </c>
      <c r="D305" t="s">
        <v>12</v>
      </c>
      <c r="E305" t="s">
        <v>16</v>
      </c>
      <c r="F305" t="s">
        <v>24</v>
      </c>
      <c r="G305" t="s">
        <v>33</v>
      </c>
      <c r="H305">
        <v>30</v>
      </c>
      <c r="I305">
        <v>1</v>
      </c>
      <c r="J305">
        <v>1</v>
      </c>
      <c r="K305" t="s">
        <v>127</v>
      </c>
      <c r="L305" t="s">
        <v>111</v>
      </c>
      <c r="M305" t="s">
        <v>122</v>
      </c>
      <c r="N305">
        <v>9</v>
      </c>
    </row>
    <row r="306" spans="2:14" x14ac:dyDescent="0.3">
      <c r="B306">
        <v>305</v>
      </c>
      <c r="C306" t="s">
        <v>191</v>
      </c>
      <c r="D306" t="s">
        <v>11</v>
      </c>
      <c r="E306" t="s">
        <v>16</v>
      </c>
      <c r="F306" t="s">
        <v>24</v>
      </c>
      <c r="G306" t="s">
        <v>33</v>
      </c>
      <c r="H306">
        <v>50</v>
      </c>
      <c r="I306">
        <v>3</v>
      </c>
      <c r="J306">
        <v>1</v>
      </c>
      <c r="K306" t="s">
        <v>127</v>
      </c>
      <c r="L306" t="s">
        <v>111</v>
      </c>
      <c r="M306" t="s">
        <v>122</v>
      </c>
      <c r="N306">
        <v>9</v>
      </c>
    </row>
    <row r="307" spans="2:14" x14ac:dyDescent="0.3">
      <c r="B307">
        <v>306</v>
      </c>
      <c r="C307" t="s">
        <v>192</v>
      </c>
      <c r="D307" t="s">
        <v>13</v>
      </c>
      <c r="E307" t="s">
        <v>16</v>
      </c>
      <c r="F307" t="s">
        <v>24</v>
      </c>
      <c r="G307" t="s">
        <v>33</v>
      </c>
      <c r="H307">
        <v>30</v>
      </c>
      <c r="I307">
        <v>2</v>
      </c>
      <c r="J307">
        <v>0</v>
      </c>
      <c r="K307" t="s">
        <v>127</v>
      </c>
      <c r="L307" t="s">
        <v>111</v>
      </c>
      <c r="M307" t="s">
        <v>122</v>
      </c>
      <c r="N307">
        <v>9</v>
      </c>
    </row>
    <row r="308" spans="2:14" x14ac:dyDescent="0.3">
      <c r="B308">
        <v>307</v>
      </c>
      <c r="C308" t="s">
        <v>193</v>
      </c>
      <c r="D308" t="s">
        <v>9</v>
      </c>
      <c r="E308" t="s">
        <v>14</v>
      </c>
      <c r="F308" t="s">
        <v>22</v>
      </c>
      <c r="G308" t="s">
        <v>32</v>
      </c>
      <c r="H308">
        <v>120</v>
      </c>
      <c r="I308">
        <v>1</v>
      </c>
      <c r="J308">
        <v>0</v>
      </c>
      <c r="K308" t="s">
        <v>127</v>
      </c>
      <c r="L308" t="s">
        <v>111</v>
      </c>
      <c r="M308" t="s">
        <v>122</v>
      </c>
      <c r="N308">
        <v>9</v>
      </c>
    </row>
    <row r="309" spans="2:14" x14ac:dyDescent="0.3">
      <c r="B309">
        <v>308</v>
      </c>
      <c r="C309" t="s">
        <v>194</v>
      </c>
      <c r="D309" t="s">
        <v>13</v>
      </c>
      <c r="E309" t="s">
        <v>16</v>
      </c>
      <c r="F309" t="s">
        <v>24</v>
      </c>
      <c r="G309" t="s">
        <v>33</v>
      </c>
      <c r="H309">
        <v>30</v>
      </c>
      <c r="I309">
        <v>1</v>
      </c>
      <c r="J309">
        <v>0</v>
      </c>
      <c r="K309" t="s">
        <v>127</v>
      </c>
      <c r="L309" t="s">
        <v>111</v>
      </c>
      <c r="M309" t="s">
        <v>122</v>
      </c>
      <c r="N309">
        <v>9</v>
      </c>
    </row>
    <row r="310" spans="2:14" x14ac:dyDescent="0.3">
      <c r="B310">
        <v>309</v>
      </c>
      <c r="C310" t="s">
        <v>195</v>
      </c>
      <c r="D310" t="s">
        <v>13</v>
      </c>
      <c r="E310" t="s">
        <v>14</v>
      </c>
      <c r="F310" t="s">
        <v>22</v>
      </c>
      <c r="G310" t="s">
        <v>32</v>
      </c>
      <c r="H310">
        <v>30</v>
      </c>
      <c r="I310">
        <v>1</v>
      </c>
      <c r="J310">
        <v>0</v>
      </c>
      <c r="K310" t="s">
        <v>127</v>
      </c>
      <c r="L310" t="s">
        <v>111</v>
      </c>
      <c r="M310" t="s">
        <v>122</v>
      </c>
      <c r="N310">
        <v>9</v>
      </c>
    </row>
    <row r="311" spans="2:14" x14ac:dyDescent="0.3">
      <c r="B311">
        <v>310</v>
      </c>
      <c r="C311" t="s">
        <v>196</v>
      </c>
      <c r="D311" t="s">
        <v>11</v>
      </c>
      <c r="E311" t="s">
        <v>14</v>
      </c>
      <c r="F311" t="s">
        <v>22</v>
      </c>
      <c r="G311" t="s">
        <v>32</v>
      </c>
      <c r="H311">
        <v>50</v>
      </c>
      <c r="I311">
        <v>4</v>
      </c>
      <c r="J311">
        <v>1</v>
      </c>
      <c r="K311" t="s">
        <v>127</v>
      </c>
      <c r="L311" t="s">
        <v>111</v>
      </c>
      <c r="M311" t="s">
        <v>122</v>
      </c>
      <c r="N311">
        <v>9</v>
      </c>
    </row>
    <row r="312" spans="2:14" x14ac:dyDescent="0.3">
      <c r="B312">
        <v>311</v>
      </c>
      <c r="C312" t="s">
        <v>197</v>
      </c>
      <c r="D312" t="s">
        <v>11</v>
      </c>
      <c r="E312" t="s">
        <v>16</v>
      </c>
      <c r="F312" t="s">
        <v>24</v>
      </c>
      <c r="G312" t="s">
        <v>33</v>
      </c>
      <c r="H312">
        <v>44</v>
      </c>
      <c r="I312">
        <v>1</v>
      </c>
      <c r="J312">
        <v>0</v>
      </c>
      <c r="K312" t="s">
        <v>127</v>
      </c>
      <c r="L312" t="s">
        <v>111</v>
      </c>
      <c r="M312" t="s">
        <v>122</v>
      </c>
      <c r="N312">
        <v>9</v>
      </c>
    </row>
    <row r="313" spans="2:14" x14ac:dyDescent="0.3">
      <c r="B313">
        <v>312</v>
      </c>
      <c r="C313" t="s">
        <v>198</v>
      </c>
      <c r="D313" t="s">
        <v>12</v>
      </c>
      <c r="E313" t="s">
        <v>16</v>
      </c>
      <c r="F313" t="s">
        <v>24</v>
      </c>
      <c r="G313" t="s">
        <v>33</v>
      </c>
      <c r="H313">
        <v>30</v>
      </c>
      <c r="I313">
        <v>1</v>
      </c>
      <c r="J313">
        <v>1</v>
      </c>
      <c r="K313" t="s">
        <v>127</v>
      </c>
      <c r="L313" t="s">
        <v>111</v>
      </c>
      <c r="M313" t="s">
        <v>122</v>
      </c>
      <c r="N313">
        <v>9</v>
      </c>
    </row>
    <row r="314" spans="2:14" x14ac:dyDescent="0.3">
      <c r="B314">
        <v>313</v>
      </c>
      <c r="C314" t="s">
        <v>199</v>
      </c>
      <c r="D314" t="s">
        <v>11</v>
      </c>
      <c r="E314" t="s">
        <v>19</v>
      </c>
      <c r="F314" t="s">
        <v>28</v>
      </c>
      <c r="G314" t="s">
        <v>34</v>
      </c>
      <c r="H314">
        <v>50</v>
      </c>
      <c r="I314">
        <v>2</v>
      </c>
      <c r="J314">
        <v>2</v>
      </c>
      <c r="K314" t="s">
        <v>127</v>
      </c>
      <c r="L314" t="s">
        <v>111</v>
      </c>
      <c r="M314" t="s">
        <v>122</v>
      </c>
      <c r="N314">
        <v>9</v>
      </c>
    </row>
    <row r="315" spans="2:14" x14ac:dyDescent="0.3">
      <c r="B315">
        <v>314</v>
      </c>
      <c r="C315" t="s">
        <v>200</v>
      </c>
      <c r="D315" t="s">
        <v>10</v>
      </c>
      <c r="E315" t="s">
        <v>14</v>
      </c>
      <c r="F315" t="s">
        <v>22</v>
      </c>
      <c r="G315" t="s">
        <v>32</v>
      </c>
      <c r="H315">
        <v>90</v>
      </c>
      <c r="I315">
        <v>2</v>
      </c>
      <c r="J315">
        <v>1</v>
      </c>
      <c r="K315" t="s">
        <v>127</v>
      </c>
      <c r="L315" t="s">
        <v>111</v>
      </c>
      <c r="M315" t="s">
        <v>122</v>
      </c>
      <c r="N315">
        <v>9</v>
      </c>
    </row>
    <row r="316" spans="2:14" x14ac:dyDescent="0.3">
      <c r="B316">
        <v>315</v>
      </c>
      <c r="C316" t="s">
        <v>201</v>
      </c>
      <c r="D316" t="s">
        <v>10</v>
      </c>
      <c r="E316" t="s">
        <v>14</v>
      </c>
      <c r="F316" t="s">
        <v>22</v>
      </c>
      <c r="G316" t="s">
        <v>32</v>
      </c>
      <c r="H316">
        <v>102</v>
      </c>
      <c r="I316">
        <v>1</v>
      </c>
      <c r="J316">
        <v>2</v>
      </c>
      <c r="K316" t="s">
        <v>127</v>
      </c>
      <c r="L316" t="s">
        <v>111</v>
      </c>
      <c r="M316" t="s">
        <v>122</v>
      </c>
      <c r="N316">
        <v>9</v>
      </c>
    </row>
    <row r="317" spans="2:14" x14ac:dyDescent="0.3">
      <c r="B317">
        <v>316</v>
      </c>
      <c r="C317" t="s">
        <v>202</v>
      </c>
      <c r="D317" t="s">
        <v>9</v>
      </c>
      <c r="E317" t="s">
        <v>14</v>
      </c>
      <c r="F317" t="s">
        <v>22</v>
      </c>
      <c r="G317" t="s">
        <v>32</v>
      </c>
      <c r="H317">
        <v>120</v>
      </c>
      <c r="I317">
        <v>2</v>
      </c>
      <c r="J317">
        <v>1</v>
      </c>
      <c r="K317" t="s">
        <v>127</v>
      </c>
      <c r="L317" t="s">
        <v>111</v>
      </c>
      <c r="M317" t="s">
        <v>122</v>
      </c>
      <c r="N317">
        <v>9</v>
      </c>
    </row>
    <row r="318" spans="2:14" x14ac:dyDescent="0.3">
      <c r="B318">
        <v>317</v>
      </c>
      <c r="C318" t="s">
        <v>203</v>
      </c>
      <c r="D318" t="s">
        <v>9</v>
      </c>
      <c r="E318" t="s">
        <v>16</v>
      </c>
      <c r="F318" t="s">
        <v>24</v>
      </c>
      <c r="G318" t="s">
        <v>33</v>
      </c>
      <c r="H318">
        <v>120</v>
      </c>
      <c r="I318">
        <v>1</v>
      </c>
      <c r="J318">
        <v>1</v>
      </c>
      <c r="K318" t="s">
        <v>127</v>
      </c>
      <c r="L318" t="s">
        <v>111</v>
      </c>
      <c r="M318" t="s">
        <v>122</v>
      </c>
      <c r="N318">
        <v>9</v>
      </c>
    </row>
    <row r="319" spans="2:14" x14ac:dyDescent="0.3">
      <c r="B319">
        <v>318</v>
      </c>
      <c r="C319" t="s">
        <v>204</v>
      </c>
      <c r="D319" t="s">
        <v>10</v>
      </c>
      <c r="E319" t="s">
        <v>16</v>
      </c>
      <c r="F319" t="s">
        <v>24</v>
      </c>
      <c r="G319" t="s">
        <v>33</v>
      </c>
      <c r="H319">
        <v>90</v>
      </c>
      <c r="I319">
        <v>1</v>
      </c>
      <c r="J319">
        <v>2</v>
      </c>
      <c r="K319" t="s">
        <v>127</v>
      </c>
      <c r="L319" t="s">
        <v>111</v>
      </c>
      <c r="M319" t="s">
        <v>122</v>
      </c>
      <c r="N319">
        <v>9</v>
      </c>
    </row>
    <row r="320" spans="2:14" x14ac:dyDescent="0.3">
      <c r="B320">
        <v>319</v>
      </c>
      <c r="C320" t="s">
        <v>205</v>
      </c>
      <c r="D320" t="s">
        <v>13</v>
      </c>
      <c r="E320" t="s">
        <v>16</v>
      </c>
      <c r="F320" t="s">
        <v>24</v>
      </c>
      <c r="G320" t="s">
        <v>33</v>
      </c>
      <c r="H320">
        <v>17</v>
      </c>
      <c r="I320">
        <v>1</v>
      </c>
      <c r="J320">
        <v>0</v>
      </c>
      <c r="K320" t="s">
        <v>127</v>
      </c>
      <c r="L320" t="s">
        <v>111</v>
      </c>
      <c r="M320" t="s">
        <v>122</v>
      </c>
      <c r="N320">
        <v>9</v>
      </c>
    </row>
    <row r="321" spans="2:14" x14ac:dyDescent="0.3">
      <c r="B321">
        <v>320</v>
      </c>
      <c r="C321" t="s">
        <v>206</v>
      </c>
      <c r="D321" t="s">
        <v>9</v>
      </c>
      <c r="E321" t="s">
        <v>19</v>
      </c>
      <c r="F321" t="s">
        <v>28</v>
      </c>
      <c r="G321" t="s">
        <v>34</v>
      </c>
      <c r="H321">
        <v>120</v>
      </c>
      <c r="I321">
        <v>1</v>
      </c>
      <c r="J321">
        <v>3</v>
      </c>
      <c r="K321" t="s">
        <v>127</v>
      </c>
      <c r="L321" t="s">
        <v>111</v>
      </c>
      <c r="M321" t="s">
        <v>122</v>
      </c>
      <c r="N321">
        <v>9</v>
      </c>
    </row>
    <row r="322" spans="2:14" x14ac:dyDescent="0.3">
      <c r="B322">
        <v>321</v>
      </c>
      <c r="C322" t="s">
        <v>207</v>
      </c>
      <c r="D322" t="s">
        <v>10</v>
      </c>
      <c r="E322" t="s">
        <v>16</v>
      </c>
      <c r="F322" t="s">
        <v>24</v>
      </c>
      <c r="G322" t="s">
        <v>33</v>
      </c>
      <c r="H322">
        <v>102</v>
      </c>
      <c r="I322">
        <v>1</v>
      </c>
      <c r="J322">
        <v>0</v>
      </c>
      <c r="K322" t="s">
        <v>127</v>
      </c>
      <c r="L322" t="s">
        <v>111</v>
      </c>
      <c r="M322" t="s">
        <v>122</v>
      </c>
      <c r="N322">
        <v>9</v>
      </c>
    </row>
    <row r="323" spans="2:14" x14ac:dyDescent="0.3">
      <c r="B323">
        <v>322</v>
      </c>
      <c r="C323" t="s">
        <v>208</v>
      </c>
      <c r="D323" t="s">
        <v>11</v>
      </c>
      <c r="E323" t="s">
        <v>14</v>
      </c>
      <c r="F323" t="s">
        <v>22</v>
      </c>
      <c r="G323" t="s">
        <v>32</v>
      </c>
      <c r="H323">
        <v>44</v>
      </c>
      <c r="I323">
        <v>1</v>
      </c>
      <c r="J323">
        <v>0</v>
      </c>
      <c r="K323" t="s">
        <v>127</v>
      </c>
      <c r="L323" t="s">
        <v>111</v>
      </c>
      <c r="M323" t="s">
        <v>122</v>
      </c>
      <c r="N323">
        <v>9</v>
      </c>
    </row>
    <row r="324" spans="2:14" x14ac:dyDescent="0.3">
      <c r="B324">
        <v>323</v>
      </c>
      <c r="C324" t="s">
        <v>209</v>
      </c>
      <c r="D324" t="s">
        <v>12</v>
      </c>
      <c r="E324" t="s">
        <v>14</v>
      </c>
      <c r="F324" t="s">
        <v>22</v>
      </c>
      <c r="G324" t="s">
        <v>32</v>
      </c>
      <c r="H324">
        <v>25</v>
      </c>
      <c r="I324">
        <v>1</v>
      </c>
      <c r="J324">
        <v>3</v>
      </c>
      <c r="K324" t="s">
        <v>127</v>
      </c>
      <c r="L324" t="s">
        <v>111</v>
      </c>
      <c r="M324" t="s">
        <v>122</v>
      </c>
      <c r="N324">
        <v>9</v>
      </c>
    </row>
    <row r="325" spans="2:14" x14ac:dyDescent="0.3">
      <c r="B325">
        <v>324</v>
      </c>
      <c r="C325" t="s">
        <v>210</v>
      </c>
      <c r="D325" t="s">
        <v>11</v>
      </c>
      <c r="E325" t="s">
        <v>14</v>
      </c>
      <c r="F325" t="s">
        <v>22</v>
      </c>
      <c r="G325" t="s">
        <v>32</v>
      </c>
      <c r="H325">
        <v>33</v>
      </c>
      <c r="I325">
        <v>1</v>
      </c>
      <c r="J325">
        <v>0</v>
      </c>
      <c r="K325" t="s">
        <v>127</v>
      </c>
      <c r="L325" t="s">
        <v>111</v>
      </c>
      <c r="M325" t="s">
        <v>122</v>
      </c>
      <c r="N325">
        <v>9</v>
      </c>
    </row>
    <row r="326" spans="2:14" x14ac:dyDescent="0.3">
      <c r="B326">
        <v>325</v>
      </c>
      <c r="C326" t="s">
        <v>211</v>
      </c>
      <c r="D326" t="s">
        <v>9</v>
      </c>
      <c r="E326" t="s">
        <v>14</v>
      </c>
      <c r="F326" t="s">
        <v>22</v>
      </c>
      <c r="G326" t="s">
        <v>32</v>
      </c>
      <c r="H326">
        <v>120</v>
      </c>
      <c r="I326">
        <v>3</v>
      </c>
      <c r="J326">
        <v>0</v>
      </c>
      <c r="K326" t="s">
        <v>127</v>
      </c>
      <c r="L326" t="s">
        <v>111</v>
      </c>
      <c r="M326" t="s">
        <v>122</v>
      </c>
      <c r="N326">
        <v>9</v>
      </c>
    </row>
    <row r="327" spans="2:14" x14ac:dyDescent="0.3">
      <c r="B327">
        <v>326</v>
      </c>
      <c r="C327" t="s">
        <v>212</v>
      </c>
      <c r="D327" t="s">
        <v>12</v>
      </c>
      <c r="E327" t="s">
        <v>14</v>
      </c>
      <c r="F327" t="s">
        <v>22</v>
      </c>
      <c r="G327" t="s">
        <v>32</v>
      </c>
      <c r="H327">
        <v>30</v>
      </c>
      <c r="I327">
        <v>4</v>
      </c>
      <c r="J327">
        <v>3</v>
      </c>
      <c r="K327" t="s">
        <v>127</v>
      </c>
      <c r="L327" t="s">
        <v>111</v>
      </c>
      <c r="M327" t="s">
        <v>122</v>
      </c>
      <c r="N327">
        <v>9</v>
      </c>
    </row>
    <row r="328" spans="2:14" x14ac:dyDescent="0.3">
      <c r="B328">
        <v>327</v>
      </c>
      <c r="C328" t="s">
        <v>213</v>
      </c>
      <c r="D328" t="s">
        <v>13</v>
      </c>
      <c r="E328" t="s">
        <v>19</v>
      </c>
      <c r="F328" t="s">
        <v>28</v>
      </c>
      <c r="G328" t="s">
        <v>34</v>
      </c>
      <c r="H328">
        <v>17</v>
      </c>
      <c r="I328">
        <v>1</v>
      </c>
      <c r="J328">
        <v>1</v>
      </c>
      <c r="K328" t="s">
        <v>127</v>
      </c>
      <c r="L328" t="s">
        <v>111</v>
      </c>
      <c r="M328" t="s">
        <v>122</v>
      </c>
      <c r="N328">
        <v>9</v>
      </c>
    </row>
    <row r="329" spans="2:14" x14ac:dyDescent="0.3">
      <c r="B329">
        <v>328</v>
      </c>
      <c r="C329" t="s">
        <v>214</v>
      </c>
      <c r="D329" t="s">
        <v>9</v>
      </c>
      <c r="E329" t="s">
        <v>14</v>
      </c>
      <c r="F329" t="s">
        <v>22</v>
      </c>
      <c r="G329" t="s">
        <v>32</v>
      </c>
      <c r="H329">
        <v>120</v>
      </c>
      <c r="I329">
        <v>1</v>
      </c>
      <c r="J329">
        <v>2</v>
      </c>
      <c r="K329" t="s">
        <v>127</v>
      </c>
      <c r="L329" t="s">
        <v>111</v>
      </c>
      <c r="M329" t="s">
        <v>122</v>
      </c>
      <c r="N329">
        <v>9</v>
      </c>
    </row>
    <row r="330" spans="2:14" x14ac:dyDescent="0.3">
      <c r="B330">
        <v>329</v>
      </c>
      <c r="C330" t="s">
        <v>215</v>
      </c>
      <c r="D330" t="s">
        <v>10</v>
      </c>
      <c r="E330" t="s">
        <v>19</v>
      </c>
      <c r="F330" t="s">
        <v>28</v>
      </c>
      <c r="G330" t="s">
        <v>34</v>
      </c>
      <c r="H330">
        <v>100</v>
      </c>
      <c r="I330">
        <v>1</v>
      </c>
      <c r="J330">
        <v>0</v>
      </c>
      <c r="K330" t="s">
        <v>127</v>
      </c>
      <c r="L330" t="s">
        <v>111</v>
      </c>
      <c r="M330" t="s">
        <v>122</v>
      </c>
      <c r="N330">
        <v>9</v>
      </c>
    </row>
    <row r="331" spans="2:14" x14ac:dyDescent="0.3">
      <c r="B331">
        <v>330</v>
      </c>
      <c r="C331" t="s">
        <v>216</v>
      </c>
      <c r="D331" t="s">
        <v>13</v>
      </c>
      <c r="E331" t="s">
        <v>16</v>
      </c>
      <c r="F331" t="s">
        <v>24</v>
      </c>
      <c r="G331" t="s">
        <v>33</v>
      </c>
      <c r="H331">
        <v>21</v>
      </c>
      <c r="I331">
        <v>1</v>
      </c>
      <c r="J331">
        <v>0</v>
      </c>
      <c r="K331" t="s">
        <v>127</v>
      </c>
      <c r="L331" t="s">
        <v>111</v>
      </c>
      <c r="M331" t="s">
        <v>122</v>
      </c>
      <c r="N331">
        <v>9</v>
      </c>
    </row>
    <row r="332" spans="2:14" x14ac:dyDescent="0.3">
      <c r="B332">
        <v>331</v>
      </c>
      <c r="C332" t="s">
        <v>217</v>
      </c>
      <c r="D332" t="s">
        <v>12</v>
      </c>
      <c r="E332" t="s">
        <v>14</v>
      </c>
      <c r="F332" t="s">
        <v>22</v>
      </c>
      <c r="G332" t="s">
        <v>32</v>
      </c>
      <c r="H332">
        <v>30</v>
      </c>
      <c r="I332">
        <v>1</v>
      </c>
      <c r="J332">
        <v>0</v>
      </c>
      <c r="K332" t="s">
        <v>127</v>
      </c>
      <c r="L332" t="s">
        <v>111</v>
      </c>
      <c r="M332" t="s">
        <v>122</v>
      </c>
      <c r="N332">
        <v>9</v>
      </c>
    </row>
    <row r="333" spans="2:14" x14ac:dyDescent="0.3">
      <c r="B333">
        <v>332</v>
      </c>
      <c r="C333" t="s">
        <v>218</v>
      </c>
      <c r="D333" t="s">
        <v>13</v>
      </c>
      <c r="E333" t="s">
        <v>16</v>
      </c>
      <c r="F333" t="s">
        <v>24</v>
      </c>
      <c r="G333" t="s">
        <v>33</v>
      </c>
      <c r="H333">
        <v>20</v>
      </c>
      <c r="I333">
        <v>3</v>
      </c>
      <c r="J333">
        <v>2</v>
      </c>
      <c r="K333" t="s">
        <v>127</v>
      </c>
      <c r="L333" t="s">
        <v>111</v>
      </c>
      <c r="M333" t="s">
        <v>122</v>
      </c>
      <c r="N333">
        <v>9</v>
      </c>
    </row>
    <row r="334" spans="2:14" x14ac:dyDescent="0.3">
      <c r="B334">
        <v>333</v>
      </c>
      <c r="C334" t="s">
        <v>219</v>
      </c>
      <c r="D334" t="s">
        <v>9</v>
      </c>
      <c r="E334" t="s">
        <v>14</v>
      </c>
      <c r="F334" t="s">
        <v>22</v>
      </c>
      <c r="G334" t="s">
        <v>32</v>
      </c>
      <c r="H334">
        <v>109</v>
      </c>
      <c r="I334">
        <v>2</v>
      </c>
      <c r="J334">
        <v>0</v>
      </c>
      <c r="K334" t="s">
        <v>127</v>
      </c>
      <c r="L334" t="s">
        <v>112</v>
      </c>
      <c r="M334" t="s">
        <v>123</v>
      </c>
      <c r="N334">
        <v>10</v>
      </c>
    </row>
    <row r="335" spans="2:14" x14ac:dyDescent="0.3">
      <c r="B335">
        <v>334</v>
      </c>
      <c r="C335" t="s">
        <v>220</v>
      </c>
      <c r="D335" t="s">
        <v>11</v>
      </c>
      <c r="E335" t="s">
        <v>19</v>
      </c>
      <c r="F335" t="s">
        <v>28</v>
      </c>
      <c r="G335" t="s">
        <v>34</v>
      </c>
      <c r="H335">
        <v>50</v>
      </c>
      <c r="I335">
        <v>1</v>
      </c>
      <c r="J335">
        <v>2</v>
      </c>
      <c r="K335" t="s">
        <v>127</v>
      </c>
      <c r="L335" t="s">
        <v>112</v>
      </c>
      <c r="M335" t="s">
        <v>123</v>
      </c>
      <c r="N335">
        <v>10</v>
      </c>
    </row>
    <row r="336" spans="2:14" x14ac:dyDescent="0.3">
      <c r="B336">
        <v>335</v>
      </c>
      <c r="C336" t="s">
        <v>221</v>
      </c>
      <c r="D336" t="s">
        <v>11</v>
      </c>
      <c r="E336" t="s">
        <v>14</v>
      </c>
      <c r="F336" t="s">
        <v>22</v>
      </c>
      <c r="G336" t="s">
        <v>32</v>
      </c>
      <c r="H336">
        <v>45</v>
      </c>
      <c r="I336">
        <v>1</v>
      </c>
      <c r="J336">
        <v>0</v>
      </c>
      <c r="K336" t="s">
        <v>127</v>
      </c>
      <c r="L336" t="s">
        <v>112</v>
      </c>
      <c r="M336" t="s">
        <v>123</v>
      </c>
      <c r="N336">
        <v>10</v>
      </c>
    </row>
    <row r="337" spans="2:14" x14ac:dyDescent="0.3">
      <c r="B337">
        <v>336</v>
      </c>
      <c r="C337" t="s">
        <v>222</v>
      </c>
      <c r="D337" t="s">
        <v>12</v>
      </c>
      <c r="E337" t="s">
        <v>14</v>
      </c>
      <c r="F337" t="s">
        <v>22</v>
      </c>
      <c r="G337" t="s">
        <v>32</v>
      </c>
      <c r="H337">
        <v>25</v>
      </c>
      <c r="I337">
        <v>2</v>
      </c>
      <c r="J337">
        <v>0</v>
      </c>
      <c r="K337" t="s">
        <v>127</v>
      </c>
      <c r="L337" t="s">
        <v>112</v>
      </c>
      <c r="M337" t="s">
        <v>123</v>
      </c>
      <c r="N337">
        <v>10</v>
      </c>
    </row>
    <row r="338" spans="2:14" x14ac:dyDescent="0.3">
      <c r="B338">
        <v>337</v>
      </c>
      <c r="C338" t="s">
        <v>223</v>
      </c>
      <c r="D338" t="s">
        <v>9</v>
      </c>
      <c r="E338" t="s">
        <v>14</v>
      </c>
      <c r="F338" t="s">
        <v>22</v>
      </c>
      <c r="G338" t="s">
        <v>32</v>
      </c>
      <c r="H338">
        <v>110</v>
      </c>
      <c r="I338">
        <v>1</v>
      </c>
      <c r="J338">
        <v>0</v>
      </c>
      <c r="K338" t="s">
        <v>127</v>
      </c>
      <c r="L338" t="s">
        <v>112</v>
      </c>
      <c r="M338" t="s">
        <v>123</v>
      </c>
      <c r="N338">
        <v>10</v>
      </c>
    </row>
    <row r="339" spans="2:14" x14ac:dyDescent="0.3">
      <c r="B339">
        <v>338</v>
      </c>
      <c r="C339" t="s">
        <v>224</v>
      </c>
      <c r="D339" t="s">
        <v>13</v>
      </c>
      <c r="E339" t="s">
        <v>14</v>
      </c>
      <c r="F339" t="s">
        <v>22</v>
      </c>
      <c r="G339" t="s">
        <v>32</v>
      </c>
      <c r="H339">
        <v>30</v>
      </c>
      <c r="I339">
        <v>1</v>
      </c>
      <c r="J339">
        <v>2</v>
      </c>
      <c r="K339" t="s">
        <v>127</v>
      </c>
      <c r="L339" t="s">
        <v>112</v>
      </c>
      <c r="M339" t="s">
        <v>123</v>
      </c>
      <c r="N339">
        <v>10</v>
      </c>
    </row>
    <row r="340" spans="2:14" x14ac:dyDescent="0.3">
      <c r="B340">
        <v>339</v>
      </c>
      <c r="C340" t="s">
        <v>225</v>
      </c>
      <c r="D340" t="s">
        <v>11</v>
      </c>
      <c r="E340" t="s">
        <v>14</v>
      </c>
      <c r="F340" t="s">
        <v>22</v>
      </c>
      <c r="G340" t="s">
        <v>32</v>
      </c>
      <c r="H340">
        <v>50</v>
      </c>
      <c r="I340">
        <v>5</v>
      </c>
      <c r="J340">
        <v>0</v>
      </c>
      <c r="K340" t="s">
        <v>127</v>
      </c>
      <c r="L340" t="s">
        <v>112</v>
      </c>
      <c r="M340" t="s">
        <v>123</v>
      </c>
      <c r="N340">
        <v>10</v>
      </c>
    </row>
    <row r="341" spans="2:14" x14ac:dyDescent="0.3">
      <c r="B341">
        <v>340</v>
      </c>
      <c r="C341" t="s">
        <v>226</v>
      </c>
      <c r="D341" t="s">
        <v>9</v>
      </c>
      <c r="E341" t="s">
        <v>16</v>
      </c>
      <c r="F341" t="s">
        <v>24</v>
      </c>
      <c r="G341" t="s">
        <v>33</v>
      </c>
      <c r="H341">
        <v>105</v>
      </c>
      <c r="I341">
        <v>1</v>
      </c>
      <c r="J341">
        <v>1</v>
      </c>
      <c r="K341" t="s">
        <v>127</v>
      </c>
      <c r="L341" t="s">
        <v>112</v>
      </c>
      <c r="M341" t="s">
        <v>123</v>
      </c>
      <c r="N341">
        <v>10</v>
      </c>
    </row>
    <row r="342" spans="2:14" x14ac:dyDescent="0.3">
      <c r="B342">
        <v>341</v>
      </c>
      <c r="C342" t="s">
        <v>227</v>
      </c>
      <c r="D342" t="s">
        <v>10</v>
      </c>
      <c r="E342" t="s">
        <v>14</v>
      </c>
      <c r="F342" t="s">
        <v>22</v>
      </c>
      <c r="G342" t="s">
        <v>32</v>
      </c>
      <c r="H342">
        <v>90</v>
      </c>
      <c r="I342">
        <v>1</v>
      </c>
      <c r="J342">
        <v>0</v>
      </c>
      <c r="K342" t="s">
        <v>127</v>
      </c>
      <c r="L342" t="s">
        <v>112</v>
      </c>
      <c r="M342" t="s">
        <v>123</v>
      </c>
      <c r="N342">
        <v>10</v>
      </c>
    </row>
    <row r="343" spans="2:14" x14ac:dyDescent="0.3">
      <c r="B343">
        <v>342</v>
      </c>
      <c r="C343" t="s">
        <v>228</v>
      </c>
      <c r="D343" t="s">
        <v>10</v>
      </c>
      <c r="E343" t="s">
        <v>16</v>
      </c>
      <c r="F343" t="s">
        <v>24</v>
      </c>
      <c r="G343" t="s">
        <v>33</v>
      </c>
      <c r="H343">
        <v>99</v>
      </c>
      <c r="I343">
        <v>1</v>
      </c>
      <c r="J343">
        <v>0</v>
      </c>
      <c r="K343" t="s">
        <v>127</v>
      </c>
      <c r="L343" t="s">
        <v>112</v>
      </c>
      <c r="M343" t="s">
        <v>123</v>
      </c>
      <c r="N343">
        <v>10</v>
      </c>
    </row>
    <row r="344" spans="2:14" x14ac:dyDescent="0.3">
      <c r="B344">
        <v>343</v>
      </c>
      <c r="C344" t="s">
        <v>229</v>
      </c>
      <c r="D344" t="s">
        <v>9</v>
      </c>
      <c r="E344" t="s">
        <v>19</v>
      </c>
      <c r="F344" t="s">
        <v>28</v>
      </c>
      <c r="G344" t="s">
        <v>34</v>
      </c>
      <c r="H344">
        <v>105</v>
      </c>
      <c r="I344">
        <v>1</v>
      </c>
      <c r="J344">
        <v>0</v>
      </c>
      <c r="K344" t="s">
        <v>127</v>
      </c>
      <c r="L344" t="s">
        <v>112</v>
      </c>
      <c r="M344" t="s">
        <v>123</v>
      </c>
      <c r="N344">
        <v>10</v>
      </c>
    </row>
    <row r="345" spans="2:14" x14ac:dyDescent="0.3">
      <c r="B345">
        <v>344</v>
      </c>
      <c r="C345" t="s">
        <v>230</v>
      </c>
      <c r="D345" t="s">
        <v>9</v>
      </c>
      <c r="E345" t="s">
        <v>14</v>
      </c>
      <c r="F345" t="s">
        <v>22</v>
      </c>
      <c r="G345" t="s">
        <v>32</v>
      </c>
      <c r="H345">
        <v>123</v>
      </c>
      <c r="I345">
        <v>2</v>
      </c>
      <c r="J345">
        <v>1</v>
      </c>
      <c r="K345" t="s">
        <v>127</v>
      </c>
      <c r="L345" t="s">
        <v>112</v>
      </c>
      <c r="M345" t="s">
        <v>123</v>
      </c>
      <c r="N345">
        <v>10</v>
      </c>
    </row>
    <row r="346" spans="2:14" x14ac:dyDescent="0.3">
      <c r="B346">
        <v>345</v>
      </c>
      <c r="C346" t="s">
        <v>231</v>
      </c>
      <c r="D346" t="s">
        <v>13</v>
      </c>
      <c r="E346" t="s">
        <v>16</v>
      </c>
      <c r="F346" t="s">
        <v>24</v>
      </c>
      <c r="G346" t="s">
        <v>33</v>
      </c>
      <c r="H346">
        <v>30</v>
      </c>
      <c r="I346">
        <v>5</v>
      </c>
      <c r="J346">
        <v>2</v>
      </c>
      <c r="K346" t="s">
        <v>127</v>
      </c>
      <c r="L346" t="s">
        <v>112</v>
      </c>
      <c r="M346" t="s">
        <v>123</v>
      </c>
      <c r="N346">
        <v>10</v>
      </c>
    </row>
    <row r="347" spans="2:14" x14ac:dyDescent="0.3">
      <c r="B347">
        <v>346</v>
      </c>
      <c r="C347" t="s">
        <v>232</v>
      </c>
      <c r="D347" t="s">
        <v>9</v>
      </c>
      <c r="E347" t="s">
        <v>14</v>
      </c>
      <c r="F347" t="s">
        <v>22</v>
      </c>
      <c r="G347" t="s">
        <v>32</v>
      </c>
      <c r="H347">
        <v>122</v>
      </c>
      <c r="I347">
        <v>1</v>
      </c>
      <c r="J347">
        <v>0</v>
      </c>
      <c r="K347" t="s">
        <v>127</v>
      </c>
      <c r="L347" t="s">
        <v>112</v>
      </c>
      <c r="M347" t="s">
        <v>123</v>
      </c>
      <c r="N347">
        <v>10</v>
      </c>
    </row>
    <row r="348" spans="2:14" x14ac:dyDescent="0.3">
      <c r="B348">
        <v>347</v>
      </c>
      <c r="C348" t="s">
        <v>233</v>
      </c>
      <c r="D348" t="s">
        <v>10</v>
      </c>
      <c r="E348" t="s">
        <v>16</v>
      </c>
      <c r="F348" t="s">
        <v>24</v>
      </c>
      <c r="G348" t="s">
        <v>33</v>
      </c>
      <c r="H348">
        <v>91</v>
      </c>
      <c r="I348">
        <v>2</v>
      </c>
      <c r="J348">
        <v>0</v>
      </c>
      <c r="K348" t="s">
        <v>127</v>
      </c>
      <c r="L348" t="s">
        <v>112</v>
      </c>
      <c r="M348" t="s">
        <v>123</v>
      </c>
      <c r="N348">
        <v>10</v>
      </c>
    </row>
    <row r="349" spans="2:14" x14ac:dyDescent="0.3">
      <c r="B349">
        <v>348</v>
      </c>
      <c r="C349" t="s">
        <v>234</v>
      </c>
      <c r="D349" t="s">
        <v>9</v>
      </c>
      <c r="E349" t="s">
        <v>16</v>
      </c>
      <c r="F349" t="s">
        <v>24</v>
      </c>
      <c r="G349" t="s">
        <v>33</v>
      </c>
      <c r="H349">
        <v>125</v>
      </c>
      <c r="I349">
        <v>1</v>
      </c>
      <c r="J349">
        <v>2</v>
      </c>
      <c r="K349" t="s">
        <v>127</v>
      </c>
      <c r="L349" t="s">
        <v>112</v>
      </c>
      <c r="M349" t="s">
        <v>123</v>
      </c>
      <c r="N349">
        <v>10</v>
      </c>
    </row>
    <row r="350" spans="2:14" x14ac:dyDescent="0.3">
      <c r="B350">
        <v>349</v>
      </c>
      <c r="C350" t="s">
        <v>235</v>
      </c>
      <c r="D350" t="s">
        <v>12</v>
      </c>
      <c r="E350" t="s">
        <v>19</v>
      </c>
      <c r="F350" t="s">
        <v>28</v>
      </c>
      <c r="G350" t="s">
        <v>34</v>
      </c>
      <c r="H350">
        <v>30</v>
      </c>
      <c r="I350">
        <v>1</v>
      </c>
      <c r="J350">
        <v>2</v>
      </c>
      <c r="K350" t="s">
        <v>127</v>
      </c>
      <c r="L350" t="s">
        <v>112</v>
      </c>
      <c r="M350" t="s">
        <v>123</v>
      </c>
      <c r="N350">
        <v>10</v>
      </c>
    </row>
    <row r="351" spans="2:14" x14ac:dyDescent="0.3">
      <c r="B351">
        <v>350</v>
      </c>
      <c r="C351" t="s">
        <v>236</v>
      </c>
      <c r="D351" t="s">
        <v>13</v>
      </c>
      <c r="E351" t="s">
        <v>16</v>
      </c>
      <c r="F351" t="s">
        <v>24</v>
      </c>
      <c r="G351" t="s">
        <v>33</v>
      </c>
      <c r="H351">
        <v>30</v>
      </c>
      <c r="I351">
        <v>1</v>
      </c>
      <c r="J351">
        <v>0</v>
      </c>
      <c r="K351" t="s">
        <v>127</v>
      </c>
      <c r="L351" t="s">
        <v>112</v>
      </c>
      <c r="M351" t="s">
        <v>123</v>
      </c>
      <c r="N351">
        <v>10</v>
      </c>
    </row>
    <row r="352" spans="2:14" x14ac:dyDescent="0.3">
      <c r="B352">
        <v>351</v>
      </c>
      <c r="C352" t="s">
        <v>237</v>
      </c>
      <c r="D352" t="s">
        <v>9</v>
      </c>
      <c r="E352" t="s">
        <v>14</v>
      </c>
      <c r="F352" t="s">
        <v>22</v>
      </c>
      <c r="G352" t="s">
        <v>32</v>
      </c>
      <c r="H352">
        <v>109</v>
      </c>
      <c r="I352">
        <v>1</v>
      </c>
      <c r="J352">
        <v>2</v>
      </c>
      <c r="K352" t="s">
        <v>127</v>
      </c>
      <c r="L352" t="s">
        <v>112</v>
      </c>
      <c r="M352" t="s">
        <v>123</v>
      </c>
      <c r="N352">
        <v>10</v>
      </c>
    </row>
    <row r="353" spans="2:14" x14ac:dyDescent="0.3">
      <c r="B353">
        <v>352</v>
      </c>
      <c r="C353" t="s">
        <v>238</v>
      </c>
      <c r="D353" t="s">
        <v>13</v>
      </c>
      <c r="E353" t="s">
        <v>19</v>
      </c>
      <c r="F353" t="s">
        <v>28</v>
      </c>
      <c r="G353" t="s">
        <v>34</v>
      </c>
      <c r="H353">
        <v>30</v>
      </c>
      <c r="I353">
        <v>2</v>
      </c>
      <c r="J353">
        <v>0</v>
      </c>
      <c r="K353" t="s">
        <v>127</v>
      </c>
      <c r="L353" t="s">
        <v>112</v>
      </c>
      <c r="M353" t="s">
        <v>123</v>
      </c>
      <c r="N353">
        <v>10</v>
      </c>
    </row>
    <row r="354" spans="2:14" x14ac:dyDescent="0.3">
      <c r="B354">
        <v>353</v>
      </c>
      <c r="C354" t="s">
        <v>239</v>
      </c>
      <c r="D354" t="s">
        <v>9</v>
      </c>
      <c r="E354" t="s">
        <v>14</v>
      </c>
      <c r="F354" t="s">
        <v>22</v>
      </c>
      <c r="G354" t="s">
        <v>32</v>
      </c>
      <c r="H354">
        <v>107</v>
      </c>
      <c r="I354">
        <v>2</v>
      </c>
      <c r="J354">
        <v>0</v>
      </c>
      <c r="K354" t="s">
        <v>127</v>
      </c>
      <c r="L354" t="s">
        <v>112</v>
      </c>
      <c r="M354" t="s">
        <v>123</v>
      </c>
      <c r="N354">
        <v>10</v>
      </c>
    </row>
    <row r="355" spans="2:14" x14ac:dyDescent="0.3">
      <c r="B355">
        <v>354</v>
      </c>
      <c r="C355" t="s">
        <v>240</v>
      </c>
      <c r="D355" t="s">
        <v>12</v>
      </c>
      <c r="E355" t="s">
        <v>14</v>
      </c>
      <c r="F355" t="s">
        <v>22</v>
      </c>
      <c r="G355" t="s">
        <v>32</v>
      </c>
      <c r="H355">
        <v>25</v>
      </c>
      <c r="I355">
        <v>1</v>
      </c>
      <c r="J355">
        <v>0</v>
      </c>
      <c r="K355" t="s">
        <v>127</v>
      </c>
      <c r="L355" t="s">
        <v>112</v>
      </c>
      <c r="M355" t="s">
        <v>123</v>
      </c>
      <c r="N355">
        <v>10</v>
      </c>
    </row>
    <row r="356" spans="2:14" x14ac:dyDescent="0.3">
      <c r="B356">
        <v>355</v>
      </c>
      <c r="C356" t="s">
        <v>241</v>
      </c>
      <c r="D356" t="s">
        <v>12</v>
      </c>
      <c r="E356" t="s">
        <v>16</v>
      </c>
      <c r="F356" t="s">
        <v>24</v>
      </c>
      <c r="G356" t="s">
        <v>33</v>
      </c>
      <c r="H356">
        <v>23</v>
      </c>
      <c r="I356">
        <v>2</v>
      </c>
      <c r="J356">
        <v>0</v>
      </c>
      <c r="K356" t="s">
        <v>127</v>
      </c>
      <c r="L356" t="s">
        <v>112</v>
      </c>
      <c r="M356" t="s">
        <v>123</v>
      </c>
      <c r="N356">
        <v>10</v>
      </c>
    </row>
    <row r="357" spans="2:14" x14ac:dyDescent="0.3">
      <c r="B357">
        <v>356</v>
      </c>
      <c r="C357" t="s">
        <v>242</v>
      </c>
      <c r="D357" t="s">
        <v>11</v>
      </c>
      <c r="E357" t="s">
        <v>14</v>
      </c>
      <c r="F357" t="s">
        <v>22</v>
      </c>
      <c r="G357" t="s">
        <v>32</v>
      </c>
      <c r="H357">
        <v>33</v>
      </c>
      <c r="I357">
        <v>2</v>
      </c>
      <c r="J357">
        <v>1</v>
      </c>
      <c r="K357" t="s">
        <v>127</v>
      </c>
      <c r="L357" t="s">
        <v>112</v>
      </c>
      <c r="M357" t="s">
        <v>123</v>
      </c>
      <c r="N357">
        <v>10</v>
      </c>
    </row>
    <row r="358" spans="2:14" x14ac:dyDescent="0.3">
      <c r="B358">
        <v>357</v>
      </c>
      <c r="C358" t="s">
        <v>243</v>
      </c>
      <c r="D358" t="s">
        <v>9</v>
      </c>
      <c r="E358" t="s">
        <v>16</v>
      </c>
      <c r="F358" t="s">
        <v>24</v>
      </c>
      <c r="G358" t="s">
        <v>33</v>
      </c>
      <c r="H358">
        <v>107</v>
      </c>
      <c r="I358">
        <v>2</v>
      </c>
      <c r="J358">
        <v>1</v>
      </c>
      <c r="K358" t="s">
        <v>127</v>
      </c>
      <c r="L358" t="s">
        <v>112</v>
      </c>
      <c r="M358" t="s">
        <v>123</v>
      </c>
      <c r="N358">
        <v>10</v>
      </c>
    </row>
    <row r="359" spans="2:14" x14ac:dyDescent="0.3">
      <c r="B359">
        <v>358</v>
      </c>
      <c r="C359" t="s">
        <v>244</v>
      </c>
      <c r="D359" t="s">
        <v>10</v>
      </c>
      <c r="E359" t="s">
        <v>16</v>
      </c>
      <c r="F359" t="s">
        <v>24</v>
      </c>
      <c r="G359" t="s">
        <v>33</v>
      </c>
      <c r="H359">
        <v>90</v>
      </c>
      <c r="I359">
        <v>2</v>
      </c>
      <c r="J359">
        <v>0</v>
      </c>
      <c r="K359" t="s">
        <v>127</v>
      </c>
      <c r="L359" t="s">
        <v>112</v>
      </c>
      <c r="M359" t="s">
        <v>123</v>
      </c>
      <c r="N359">
        <v>10</v>
      </c>
    </row>
    <row r="360" spans="2:14" x14ac:dyDescent="0.3">
      <c r="B360">
        <v>359</v>
      </c>
      <c r="C360" t="s">
        <v>245</v>
      </c>
      <c r="D360" t="s">
        <v>13</v>
      </c>
      <c r="E360" t="s">
        <v>14</v>
      </c>
      <c r="F360" t="s">
        <v>22</v>
      </c>
      <c r="G360" t="s">
        <v>32</v>
      </c>
      <c r="H360">
        <v>30</v>
      </c>
      <c r="I360">
        <v>1</v>
      </c>
      <c r="J360">
        <v>1</v>
      </c>
      <c r="K360" t="s">
        <v>127</v>
      </c>
      <c r="L360" t="s">
        <v>112</v>
      </c>
      <c r="M360" t="s">
        <v>123</v>
      </c>
      <c r="N360">
        <v>10</v>
      </c>
    </row>
    <row r="361" spans="2:14" x14ac:dyDescent="0.3">
      <c r="B361">
        <v>360</v>
      </c>
      <c r="C361" t="s">
        <v>246</v>
      </c>
      <c r="D361" t="s">
        <v>11</v>
      </c>
      <c r="E361" t="s">
        <v>19</v>
      </c>
      <c r="F361" t="s">
        <v>28</v>
      </c>
      <c r="G361" t="s">
        <v>34</v>
      </c>
      <c r="H361">
        <v>50</v>
      </c>
      <c r="I361">
        <v>2</v>
      </c>
      <c r="J361">
        <v>1</v>
      </c>
      <c r="K361" t="s">
        <v>127</v>
      </c>
      <c r="L361" t="s">
        <v>112</v>
      </c>
      <c r="M361" t="s">
        <v>123</v>
      </c>
      <c r="N361">
        <v>10</v>
      </c>
    </row>
    <row r="362" spans="2:14" x14ac:dyDescent="0.3">
      <c r="B362">
        <v>361</v>
      </c>
      <c r="C362" t="s">
        <v>247</v>
      </c>
      <c r="D362" t="s">
        <v>12</v>
      </c>
      <c r="E362" t="s">
        <v>14</v>
      </c>
      <c r="F362" t="s">
        <v>22</v>
      </c>
      <c r="G362" t="s">
        <v>32</v>
      </c>
      <c r="H362">
        <v>22</v>
      </c>
      <c r="I362">
        <v>1</v>
      </c>
      <c r="J362">
        <v>1</v>
      </c>
      <c r="K362" t="s">
        <v>127</v>
      </c>
      <c r="L362" t="s">
        <v>112</v>
      </c>
      <c r="M362" t="s">
        <v>123</v>
      </c>
      <c r="N362">
        <v>10</v>
      </c>
    </row>
    <row r="363" spans="2:14" x14ac:dyDescent="0.3">
      <c r="B363">
        <v>362</v>
      </c>
      <c r="C363" t="s">
        <v>248</v>
      </c>
      <c r="D363" t="s">
        <v>12</v>
      </c>
      <c r="E363" t="s">
        <v>16</v>
      </c>
      <c r="F363" t="s">
        <v>24</v>
      </c>
      <c r="G363" t="s">
        <v>33</v>
      </c>
      <c r="H363">
        <v>21</v>
      </c>
      <c r="I363">
        <v>1</v>
      </c>
      <c r="J363">
        <v>2</v>
      </c>
      <c r="K363" t="s">
        <v>127</v>
      </c>
      <c r="L363" t="s">
        <v>112</v>
      </c>
      <c r="M363" t="s">
        <v>123</v>
      </c>
      <c r="N363">
        <v>10</v>
      </c>
    </row>
    <row r="364" spans="2:14" x14ac:dyDescent="0.3">
      <c r="B364">
        <v>363</v>
      </c>
      <c r="C364" t="s">
        <v>249</v>
      </c>
      <c r="D364" t="s">
        <v>10</v>
      </c>
      <c r="E364" t="s">
        <v>14</v>
      </c>
      <c r="F364" t="s">
        <v>22</v>
      </c>
      <c r="G364" t="s">
        <v>32</v>
      </c>
      <c r="H364">
        <v>94</v>
      </c>
      <c r="I364">
        <v>1</v>
      </c>
      <c r="J364">
        <v>0</v>
      </c>
      <c r="K364" t="s">
        <v>127</v>
      </c>
      <c r="L364" t="s">
        <v>112</v>
      </c>
      <c r="M364" t="s">
        <v>123</v>
      </c>
      <c r="N364">
        <v>10</v>
      </c>
    </row>
    <row r="365" spans="2:14" x14ac:dyDescent="0.3">
      <c r="B365">
        <v>364</v>
      </c>
      <c r="C365" t="s">
        <v>250</v>
      </c>
      <c r="D365" t="s">
        <v>12</v>
      </c>
      <c r="E365" t="s">
        <v>16</v>
      </c>
      <c r="F365" t="s">
        <v>24</v>
      </c>
      <c r="G365" t="s">
        <v>33</v>
      </c>
      <c r="H365">
        <v>30</v>
      </c>
      <c r="I365">
        <v>2</v>
      </c>
      <c r="J365">
        <v>2</v>
      </c>
      <c r="K365" t="s">
        <v>127</v>
      </c>
      <c r="L365" t="s">
        <v>112</v>
      </c>
      <c r="M365" t="s">
        <v>124</v>
      </c>
      <c r="N365">
        <v>11</v>
      </c>
    </row>
    <row r="366" spans="2:14" x14ac:dyDescent="0.3">
      <c r="B366">
        <v>365</v>
      </c>
      <c r="C366" t="s">
        <v>251</v>
      </c>
      <c r="D366" t="s">
        <v>10</v>
      </c>
      <c r="E366" t="s">
        <v>14</v>
      </c>
      <c r="F366" t="s">
        <v>22</v>
      </c>
      <c r="G366" t="s">
        <v>32</v>
      </c>
      <c r="H366">
        <v>92</v>
      </c>
      <c r="I366">
        <v>2</v>
      </c>
      <c r="J366">
        <v>0</v>
      </c>
      <c r="K366" t="s">
        <v>127</v>
      </c>
      <c r="L366" t="s">
        <v>112</v>
      </c>
      <c r="M366" t="s">
        <v>124</v>
      </c>
      <c r="N366">
        <v>11</v>
      </c>
    </row>
    <row r="367" spans="2:14" x14ac:dyDescent="0.3">
      <c r="B367">
        <v>366</v>
      </c>
      <c r="C367" t="s">
        <v>252</v>
      </c>
      <c r="D367" t="s">
        <v>10</v>
      </c>
      <c r="E367" t="s">
        <v>16</v>
      </c>
      <c r="F367" t="s">
        <v>24</v>
      </c>
      <c r="G367" t="s">
        <v>33</v>
      </c>
      <c r="H367">
        <v>91</v>
      </c>
      <c r="I367">
        <v>4</v>
      </c>
      <c r="J367">
        <v>1</v>
      </c>
      <c r="K367" t="s">
        <v>127</v>
      </c>
      <c r="L367" t="s">
        <v>112</v>
      </c>
      <c r="M367" t="s">
        <v>124</v>
      </c>
      <c r="N367">
        <v>11</v>
      </c>
    </row>
    <row r="368" spans="2:14" x14ac:dyDescent="0.3">
      <c r="B368">
        <v>367</v>
      </c>
      <c r="C368" t="s">
        <v>253</v>
      </c>
      <c r="D368" t="s">
        <v>13</v>
      </c>
      <c r="E368" t="s">
        <v>16</v>
      </c>
      <c r="F368" t="s">
        <v>24</v>
      </c>
      <c r="G368" t="s">
        <v>33</v>
      </c>
      <c r="H368">
        <v>30</v>
      </c>
      <c r="I368">
        <v>2</v>
      </c>
      <c r="J368">
        <v>1</v>
      </c>
      <c r="K368" t="s">
        <v>127</v>
      </c>
      <c r="L368" t="s">
        <v>112</v>
      </c>
      <c r="M368" t="s">
        <v>124</v>
      </c>
      <c r="N368">
        <v>11</v>
      </c>
    </row>
    <row r="369" spans="2:14" x14ac:dyDescent="0.3">
      <c r="B369">
        <v>368</v>
      </c>
      <c r="C369" t="s">
        <v>254</v>
      </c>
      <c r="D369" t="s">
        <v>9</v>
      </c>
      <c r="E369" t="s">
        <v>19</v>
      </c>
      <c r="F369" t="s">
        <v>28</v>
      </c>
      <c r="G369" t="s">
        <v>34</v>
      </c>
      <c r="H369">
        <v>120</v>
      </c>
      <c r="I369">
        <v>5</v>
      </c>
      <c r="J369">
        <v>1</v>
      </c>
      <c r="K369" t="s">
        <v>127</v>
      </c>
      <c r="L369" t="s">
        <v>112</v>
      </c>
      <c r="M369" t="s">
        <v>124</v>
      </c>
      <c r="N369">
        <v>11</v>
      </c>
    </row>
    <row r="370" spans="2:14" x14ac:dyDescent="0.3">
      <c r="B370">
        <v>369</v>
      </c>
      <c r="C370" t="s">
        <v>255</v>
      </c>
      <c r="D370" t="s">
        <v>10</v>
      </c>
      <c r="E370" t="s">
        <v>16</v>
      </c>
      <c r="F370" t="s">
        <v>24</v>
      </c>
      <c r="G370" t="s">
        <v>33</v>
      </c>
      <c r="H370">
        <v>90</v>
      </c>
      <c r="I370">
        <v>1</v>
      </c>
      <c r="J370">
        <v>0</v>
      </c>
      <c r="K370" t="s">
        <v>127</v>
      </c>
      <c r="L370" t="s">
        <v>112</v>
      </c>
      <c r="M370" t="s">
        <v>124</v>
      </c>
      <c r="N370">
        <v>11</v>
      </c>
    </row>
    <row r="371" spans="2:14" x14ac:dyDescent="0.3">
      <c r="B371">
        <v>370</v>
      </c>
      <c r="C371" t="s">
        <v>256</v>
      </c>
      <c r="D371" t="s">
        <v>9</v>
      </c>
      <c r="E371" t="s">
        <v>14</v>
      </c>
      <c r="F371" t="s">
        <v>22</v>
      </c>
      <c r="G371" t="s">
        <v>32</v>
      </c>
      <c r="H371">
        <v>112</v>
      </c>
      <c r="I371">
        <v>2</v>
      </c>
      <c r="J371">
        <v>0</v>
      </c>
      <c r="K371" t="s">
        <v>127</v>
      </c>
      <c r="L371" t="s">
        <v>112</v>
      </c>
      <c r="M371" t="s">
        <v>124</v>
      </c>
      <c r="N371">
        <v>11</v>
      </c>
    </row>
    <row r="372" spans="2:14" x14ac:dyDescent="0.3">
      <c r="B372">
        <v>371</v>
      </c>
      <c r="C372" t="s">
        <v>257</v>
      </c>
      <c r="D372" t="s">
        <v>10</v>
      </c>
      <c r="E372" t="s">
        <v>14</v>
      </c>
      <c r="F372" t="s">
        <v>22</v>
      </c>
      <c r="G372" t="s">
        <v>32</v>
      </c>
      <c r="H372">
        <v>101</v>
      </c>
      <c r="I372">
        <v>1</v>
      </c>
      <c r="J372">
        <v>1</v>
      </c>
      <c r="K372" t="s">
        <v>127</v>
      </c>
      <c r="L372" t="s">
        <v>112</v>
      </c>
      <c r="M372" t="s">
        <v>124</v>
      </c>
      <c r="N372">
        <v>11</v>
      </c>
    </row>
    <row r="373" spans="2:14" x14ac:dyDescent="0.3">
      <c r="B373">
        <v>372</v>
      </c>
      <c r="C373" t="s">
        <v>258</v>
      </c>
      <c r="D373" t="s">
        <v>9</v>
      </c>
      <c r="E373" t="s">
        <v>16</v>
      </c>
      <c r="F373" t="s">
        <v>24</v>
      </c>
      <c r="G373" t="s">
        <v>33</v>
      </c>
      <c r="H373">
        <v>112</v>
      </c>
      <c r="I373">
        <v>2</v>
      </c>
      <c r="J373">
        <v>0</v>
      </c>
      <c r="K373" t="s">
        <v>127</v>
      </c>
      <c r="L373" t="s">
        <v>112</v>
      </c>
      <c r="M373" t="s">
        <v>124</v>
      </c>
      <c r="N373">
        <v>11</v>
      </c>
    </row>
    <row r="374" spans="2:14" x14ac:dyDescent="0.3">
      <c r="B374">
        <v>373</v>
      </c>
      <c r="C374" t="s">
        <v>259</v>
      </c>
      <c r="D374" t="s">
        <v>13</v>
      </c>
      <c r="E374" t="s">
        <v>16</v>
      </c>
      <c r="F374" t="s">
        <v>24</v>
      </c>
      <c r="G374" t="s">
        <v>33</v>
      </c>
      <c r="H374">
        <v>35</v>
      </c>
      <c r="I374">
        <v>1</v>
      </c>
      <c r="J374">
        <v>2</v>
      </c>
      <c r="K374" t="s">
        <v>127</v>
      </c>
      <c r="L374" t="s">
        <v>112</v>
      </c>
      <c r="M374" t="s">
        <v>124</v>
      </c>
      <c r="N374">
        <v>11</v>
      </c>
    </row>
    <row r="375" spans="2:14" x14ac:dyDescent="0.3">
      <c r="B375">
        <v>374</v>
      </c>
      <c r="C375" t="s">
        <v>260</v>
      </c>
      <c r="D375" t="s">
        <v>11</v>
      </c>
      <c r="E375" t="s">
        <v>14</v>
      </c>
      <c r="F375" t="s">
        <v>22</v>
      </c>
      <c r="G375" t="s">
        <v>32</v>
      </c>
      <c r="H375">
        <v>50</v>
      </c>
      <c r="I375">
        <v>1</v>
      </c>
      <c r="J375">
        <v>2</v>
      </c>
      <c r="K375" t="s">
        <v>127</v>
      </c>
      <c r="L375" t="s">
        <v>112</v>
      </c>
      <c r="M375" t="s">
        <v>124</v>
      </c>
      <c r="N375">
        <v>11</v>
      </c>
    </row>
    <row r="376" spans="2:14" x14ac:dyDescent="0.3">
      <c r="B376">
        <v>375</v>
      </c>
      <c r="C376" t="s">
        <v>261</v>
      </c>
      <c r="D376" t="s">
        <v>11</v>
      </c>
      <c r="E376" t="s">
        <v>16</v>
      </c>
      <c r="F376" t="s">
        <v>24</v>
      </c>
      <c r="G376" t="s">
        <v>33</v>
      </c>
      <c r="H376">
        <v>33</v>
      </c>
      <c r="I376">
        <v>1</v>
      </c>
      <c r="J376">
        <v>1</v>
      </c>
      <c r="K376" t="s">
        <v>127</v>
      </c>
      <c r="L376" t="s">
        <v>112</v>
      </c>
      <c r="M376" t="s">
        <v>124</v>
      </c>
      <c r="N376">
        <v>11</v>
      </c>
    </row>
    <row r="377" spans="2:14" x14ac:dyDescent="0.3">
      <c r="B377">
        <v>376</v>
      </c>
      <c r="C377" t="s">
        <v>262</v>
      </c>
      <c r="D377" t="s">
        <v>11</v>
      </c>
      <c r="E377" t="s">
        <v>16</v>
      </c>
      <c r="F377" t="s">
        <v>24</v>
      </c>
      <c r="G377" t="s">
        <v>33</v>
      </c>
      <c r="H377">
        <v>50</v>
      </c>
      <c r="I377">
        <v>1</v>
      </c>
      <c r="J377">
        <v>2</v>
      </c>
      <c r="K377" t="s">
        <v>127</v>
      </c>
      <c r="L377" t="s">
        <v>112</v>
      </c>
      <c r="M377" t="s">
        <v>124</v>
      </c>
      <c r="N377">
        <v>11</v>
      </c>
    </row>
    <row r="378" spans="2:14" x14ac:dyDescent="0.3">
      <c r="B378">
        <v>377</v>
      </c>
      <c r="C378" t="s">
        <v>263</v>
      </c>
      <c r="D378" t="s">
        <v>11</v>
      </c>
      <c r="E378" t="s">
        <v>14</v>
      </c>
      <c r="F378" t="s">
        <v>22</v>
      </c>
      <c r="G378" t="s">
        <v>32</v>
      </c>
      <c r="H378">
        <v>50</v>
      </c>
      <c r="I378">
        <v>1</v>
      </c>
      <c r="J378">
        <v>1</v>
      </c>
      <c r="K378" t="s">
        <v>127</v>
      </c>
      <c r="L378" t="s">
        <v>112</v>
      </c>
      <c r="M378" t="s">
        <v>124</v>
      </c>
      <c r="N378">
        <v>11</v>
      </c>
    </row>
    <row r="379" spans="2:14" x14ac:dyDescent="0.3">
      <c r="B379">
        <v>378</v>
      </c>
      <c r="C379" t="s">
        <v>264</v>
      </c>
      <c r="D379" t="s">
        <v>13</v>
      </c>
      <c r="E379" t="s">
        <v>14</v>
      </c>
      <c r="F379" t="s">
        <v>22</v>
      </c>
      <c r="G379" t="s">
        <v>32</v>
      </c>
      <c r="H379">
        <v>27</v>
      </c>
      <c r="I379">
        <v>2</v>
      </c>
      <c r="J379">
        <v>1</v>
      </c>
      <c r="K379" t="s">
        <v>127</v>
      </c>
      <c r="L379" t="s">
        <v>112</v>
      </c>
      <c r="M379" t="s">
        <v>124</v>
      </c>
      <c r="N379">
        <v>11</v>
      </c>
    </row>
    <row r="380" spans="2:14" x14ac:dyDescent="0.3">
      <c r="B380">
        <v>379</v>
      </c>
      <c r="C380" t="s">
        <v>265</v>
      </c>
      <c r="D380" t="s">
        <v>13</v>
      </c>
      <c r="E380" t="s">
        <v>19</v>
      </c>
      <c r="F380" t="s">
        <v>28</v>
      </c>
      <c r="G380" t="s">
        <v>34</v>
      </c>
      <c r="H380">
        <v>27</v>
      </c>
      <c r="I380">
        <v>2</v>
      </c>
      <c r="J380">
        <v>2</v>
      </c>
      <c r="K380" t="s">
        <v>127</v>
      </c>
      <c r="L380" t="s">
        <v>112</v>
      </c>
      <c r="M380" t="s">
        <v>124</v>
      </c>
      <c r="N380">
        <v>11</v>
      </c>
    </row>
    <row r="381" spans="2:14" x14ac:dyDescent="0.3">
      <c r="B381">
        <v>380</v>
      </c>
      <c r="C381" t="s">
        <v>266</v>
      </c>
      <c r="D381" t="s">
        <v>10</v>
      </c>
      <c r="E381" t="s">
        <v>14</v>
      </c>
      <c r="F381" t="s">
        <v>22</v>
      </c>
      <c r="G381" t="s">
        <v>32</v>
      </c>
      <c r="H381">
        <v>102</v>
      </c>
      <c r="I381">
        <v>1</v>
      </c>
      <c r="J381">
        <v>3</v>
      </c>
      <c r="K381" t="s">
        <v>127</v>
      </c>
      <c r="L381" t="s">
        <v>112</v>
      </c>
      <c r="M381" t="s">
        <v>124</v>
      </c>
      <c r="N381">
        <v>11</v>
      </c>
    </row>
    <row r="382" spans="2:14" x14ac:dyDescent="0.3">
      <c r="B382">
        <v>381</v>
      </c>
      <c r="C382" t="s">
        <v>267</v>
      </c>
      <c r="D382" t="s">
        <v>10</v>
      </c>
      <c r="E382" t="s">
        <v>16</v>
      </c>
      <c r="F382" t="s">
        <v>24</v>
      </c>
      <c r="G382" t="s">
        <v>33</v>
      </c>
      <c r="H382">
        <v>88</v>
      </c>
      <c r="I382">
        <v>2</v>
      </c>
      <c r="J382">
        <v>1</v>
      </c>
      <c r="K382" t="s">
        <v>127</v>
      </c>
      <c r="L382" t="s">
        <v>112</v>
      </c>
      <c r="M382" t="s">
        <v>124</v>
      </c>
      <c r="N382">
        <v>11</v>
      </c>
    </row>
    <row r="383" spans="2:14" x14ac:dyDescent="0.3">
      <c r="B383">
        <v>382</v>
      </c>
      <c r="C383" t="s">
        <v>268</v>
      </c>
      <c r="D383" t="s">
        <v>12</v>
      </c>
      <c r="E383" t="s">
        <v>14</v>
      </c>
      <c r="F383" t="s">
        <v>22</v>
      </c>
      <c r="G383" t="s">
        <v>32</v>
      </c>
      <c r="H383">
        <v>23</v>
      </c>
      <c r="I383">
        <v>1</v>
      </c>
      <c r="J383">
        <v>0</v>
      </c>
      <c r="K383" t="s">
        <v>127</v>
      </c>
      <c r="L383" t="s">
        <v>112</v>
      </c>
      <c r="M383" t="s">
        <v>124</v>
      </c>
      <c r="N383">
        <v>11</v>
      </c>
    </row>
    <row r="384" spans="2:14" x14ac:dyDescent="0.3">
      <c r="B384">
        <v>383</v>
      </c>
      <c r="C384" t="s">
        <v>269</v>
      </c>
      <c r="D384" t="s">
        <v>10</v>
      </c>
      <c r="E384" t="s">
        <v>14</v>
      </c>
      <c r="F384" t="s">
        <v>22</v>
      </c>
      <c r="G384" t="s">
        <v>32</v>
      </c>
      <c r="H384">
        <v>84</v>
      </c>
      <c r="I384">
        <v>1</v>
      </c>
      <c r="J384">
        <v>1</v>
      </c>
      <c r="K384" t="s">
        <v>127</v>
      </c>
      <c r="L384" t="s">
        <v>112</v>
      </c>
      <c r="M384" t="s">
        <v>124</v>
      </c>
      <c r="N384">
        <v>11</v>
      </c>
    </row>
    <row r="385" spans="2:14" x14ac:dyDescent="0.3">
      <c r="B385">
        <v>384</v>
      </c>
      <c r="C385" t="s">
        <v>270</v>
      </c>
      <c r="D385" t="s">
        <v>13</v>
      </c>
      <c r="E385" t="s">
        <v>19</v>
      </c>
      <c r="F385" t="s">
        <v>28</v>
      </c>
      <c r="G385" t="s">
        <v>34</v>
      </c>
      <c r="H385">
        <v>22</v>
      </c>
      <c r="I385">
        <v>2</v>
      </c>
      <c r="J385">
        <v>2</v>
      </c>
      <c r="K385" t="s">
        <v>127</v>
      </c>
      <c r="L385" t="s">
        <v>112</v>
      </c>
      <c r="M385" t="s">
        <v>124</v>
      </c>
      <c r="N385">
        <v>11</v>
      </c>
    </row>
    <row r="386" spans="2:14" x14ac:dyDescent="0.3">
      <c r="B386">
        <v>385</v>
      </c>
      <c r="C386" t="s">
        <v>271</v>
      </c>
      <c r="D386" t="s">
        <v>9</v>
      </c>
      <c r="E386" t="s">
        <v>16</v>
      </c>
      <c r="F386" t="s">
        <v>24</v>
      </c>
      <c r="G386" t="s">
        <v>33</v>
      </c>
      <c r="H386">
        <v>111</v>
      </c>
      <c r="I386">
        <v>2</v>
      </c>
      <c r="J386">
        <v>2</v>
      </c>
      <c r="K386" t="s">
        <v>127</v>
      </c>
      <c r="L386" t="s">
        <v>112</v>
      </c>
      <c r="M386" t="s">
        <v>124</v>
      </c>
      <c r="N386">
        <v>11</v>
      </c>
    </row>
    <row r="387" spans="2:14" x14ac:dyDescent="0.3">
      <c r="B387">
        <v>386</v>
      </c>
      <c r="C387" t="s">
        <v>272</v>
      </c>
      <c r="D387" t="s">
        <v>10</v>
      </c>
      <c r="E387" t="s">
        <v>19</v>
      </c>
      <c r="F387" t="s">
        <v>28</v>
      </c>
      <c r="G387" t="s">
        <v>34</v>
      </c>
      <c r="H387">
        <v>81</v>
      </c>
      <c r="I387">
        <v>5</v>
      </c>
      <c r="J387">
        <v>2</v>
      </c>
      <c r="K387" t="s">
        <v>127</v>
      </c>
      <c r="L387" t="s">
        <v>112</v>
      </c>
      <c r="M387" t="s">
        <v>124</v>
      </c>
      <c r="N387">
        <v>11</v>
      </c>
    </row>
    <row r="388" spans="2:14" x14ac:dyDescent="0.3">
      <c r="B388">
        <v>387</v>
      </c>
      <c r="C388" t="s">
        <v>273</v>
      </c>
      <c r="D388" t="s">
        <v>13</v>
      </c>
      <c r="E388" t="s">
        <v>16</v>
      </c>
      <c r="F388" t="s">
        <v>24</v>
      </c>
      <c r="G388" t="s">
        <v>33</v>
      </c>
      <c r="H388">
        <v>22</v>
      </c>
      <c r="I388">
        <v>2</v>
      </c>
      <c r="J388">
        <v>1</v>
      </c>
      <c r="K388" t="s">
        <v>127</v>
      </c>
      <c r="L388" t="s">
        <v>112</v>
      </c>
      <c r="M388" t="s">
        <v>124</v>
      </c>
      <c r="N388">
        <v>11</v>
      </c>
    </row>
    <row r="389" spans="2:14" x14ac:dyDescent="0.3">
      <c r="B389">
        <v>388</v>
      </c>
      <c r="C389" t="s">
        <v>274</v>
      </c>
      <c r="D389" t="s">
        <v>12</v>
      </c>
      <c r="E389" t="s">
        <v>16</v>
      </c>
      <c r="F389" t="s">
        <v>24</v>
      </c>
      <c r="G389" t="s">
        <v>33</v>
      </c>
      <c r="H389">
        <v>30</v>
      </c>
      <c r="I389">
        <v>1</v>
      </c>
      <c r="J389">
        <v>3</v>
      </c>
      <c r="K389" t="s">
        <v>127</v>
      </c>
      <c r="L389" t="s">
        <v>112</v>
      </c>
      <c r="M389" t="s">
        <v>124</v>
      </c>
      <c r="N389">
        <v>11</v>
      </c>
    </row>
    <row r="390" spans="2:14" x14ac:dyDescent="0.3">
      <c r="B390">
        <v>389</v>
      </c>
      <c r="C390" t="s">
        <v>275</v>
      </c>
      <c r="D390" t="s">
        <v>11</v>
      </c>
      <c r="E390" t="s">
        <v>14</v>
      </c>
      <c r="F390" t="s">
        <v>22</v>
      </c>
      <c r="G390" t="s">
        <v>32</v>
      </c>
      <c r="H390">
        <v>35</v>
      </c>
      <c r="I390">
        <v>5</v>
      </c>
      <c r="J390">
        <v>1</v>
      </c>
      <c r="K390" t="s">
        <v>127</v>
      </c>
      <c r="L390" t="s">
        <v>112</v>
      </c>
      <c r="M390" t="s">
        <v>124</v>
      </c>
      <c r="N390">
        <v>11</v>
      </c>
    </row>
    <row r="391" spans="2:14" x14ac:dyDescent="0.3">
      <c r="B391">
        <v>390</v>
      </c>
      <c r="C391" t="s">
        <v>276</v>
      </c>
      <c r="D391" t="s">
        <v>13</v>
      </c>
      <c r="E391" t="s">
        <v>14</v>
      </c>
      <c r="F391" t="s">
        <v>22</v>
      </c>
      <c r="G391" t="s">
        <v>32</v>
      </c>
      <c r="H391">
        <v>29</v>
      </c>
      <c r="I391">
        <v>2</v>
      </c>
      <c r="J391">
        <v>1</v>
      </c>
      <c r="K391" t="s">
        <v>127</v>
      </c>
      <c r="L391" t="s">
        <v>112</v>
      </c>
      <c r="M391" t="s">
        <v>124</v>
      </c>
      <c r="N391">
        <v>11</v>
      </c>
    </row>
    <row r="392" spans="2:14" x14ac:dyDescent="0.3">
      <c r="B392">
        <v>391</v>
      </c>
      <c r="C392" t="s">
        <v>277</v>
      </c>
      <c r="D392" t="s">
        <v>11</v>
      </c>
      <c r="E392" t="s">
        <v>14</v>
      </c>
      <c r="F392" t="s">
        <v>22</v>
      </c>
      <c r="G392" t="s">
        <v>32</v>
      </c>
      <c r="H392">
        <v>50</v>
      </c>
      <c r="I392">
        <v>2</v>
      </c>
      <c r="J392">
        <v>1</v>
      </c>
      <c r="K392" t="s">
        <v>127</v>
      </c>
      <c r="L392" t="s">
        <v>112</v>
      </c>
      <c r="M392" t="s">
        <v>124</v>
      </c>
      <c r="N392">
        <v>11</v>
      </c>
    </row>
    <row r="393" spans="2:14" x14ac:dyDescent="0.3">
      <c r="B393">
        <v>392</v>
      </c>
      <c r="C393" t="s">
        <v>278</v>
      </c>
      <c r="D393" t="s">
        <v>10</v>
      </c>
      <c r="E393" t="s">
        <v>14</v>
      </c>
      <c r="F393" t="s">
        <v>22</v>
      </c>
      <c r="G393" t="s">
        <v>32</v>
      </c>
      <c r="H393">
        <v>87</v>
      </c>
      <c r="I393">
        <v>2</v>
      </c>
      <c r="J393">
        <v>1</v>
      </c>
      <c r="K393" t="s">
        <v>127</v>
      </c>
      <c r="L393" t="s">
        <v>112</v>
      </c>
      <c r="M393" t="s">
        <v>124</v>
      </c>
      <c r="N393">
        <v>11</v>
      </c>
    </row>
    <row r="394" spans="2:14" x14ac:dyDescent="0.3">
      <c r="B394">
        <v>393</v>
      </c>
      <c r="C394" t="s">
        <v>279</v>
      </c>
      <c r="D394" t="s">
        <v>10</v>
      </c>
      <c r="E394" t="s">
        <v>14</v>
      </c>
      <c r="F394" t="s">
        <v>22</v>
      </c>
      <c r="G394" t="s">
        <v>32</v>
      </c>
      <c r="H394">
        <v>80</v>
      </c>
      <c r="I394">
        <v>1</v>
      </c>
      <c r="J394">
        <v>0</v>
      </c>
      <c r="K394" t="s">
        <v>127</v>
      </c>
      <c r="L394" t="s">
        <v>112</v>
      </c>
      <c r="M394" t="s">
        <v>124</v>
      </c>
      <c r="N394">
        <v>11</v>
      </c>
    </row>
    <row r="395" spans="2:14" x14ac:dyDescent="0.3">
      <c r="B395">
        <v>394</v>
      </c>
      <c r="C395" t="s">
        <v>280</v>
      </c>
      <c r="D395" t="s">
        <v>13</v>
      </c>
      <c r="E395" t="s">
        <v>14</v>
      </c>
      <c r="F395" t="s">
        <v>22</v>
      </c>
      <c r="G395" t="s">
        <v>32</v>
      </c>
      <c r="H395">
        <v>27</v>
      </c>
      <c r="I395">
        <v>1</v>
      </c>
      <c r="J395">
        <v>1</v>
      </c>
      <c r="K395" t="s">
        <v>127</v>
      </c>
      <c r="L395" t="s">
        <v>112</v>
      </c>
      <c r="M395" t="s">
        <v>125</v>
      </c>
      <c r="N395">
        <v>12</v>
      </c>
    </row>
    <row r="396" spans="2:14" x14ac:dyDescent="0.3">
      <c r="B396">
        <v>395</v>
      </c>
      <c r="C396" t="s">
        <v>281</v>
      </c>
      <c r="D396" t="s">
        <v>13</v>
      </c>
      <c r="E396" t="s">
        <v>14</v>
      </c>
      <c r="F396" t="s">
        <v>22</v>
      </c>
      <c r="G396" t="s">
        <v>32</v>
      </c>
      <c r="H396">
        <v>27</v>
      </c>
      <c r="I396">
        <v>1</v>
      </c>
      <c r="J396">
        <v>1</v>
      </c>
      <c r="K396" t="s">
        <v>127</v>
      </c>
      <c r="L396" t="s">
        <v>112</v>
      </c>
      <c r="M396" t="s">
        <v>125</v>
      </c>
      <c r="N396">
        <v>12</v>
      </c>
    </row>
    <row r="397" spans="2:14" x14ac:dyDescent="0.3">
      <c r="B397">
        <v>396</v>
      </c>
      <c r="C397" t="s">
        <v>282</v>
      </c>
      <c r="D397" t="s">
        <v>13</v>
      </c>
      <c r="E397" t="s">
        <v>19</v>
      </c>
      <c r="F397" t="s">
        <v>28</v>
      </c>
      <c r="G397" t="s">
        <v>34</v>
      </c>
      <c r="H397">
        <v>22</v>
      </c>
      <c r="I397">
        <v>1</v>
      </c>
      <c r="J397">
        <v>1</v>
      </c>
      <c r="K397" t="s">
        <v>127</v>
      </c>
      <c r="L397" t="s">
        <v>112</v>
      </c>
      <c r="M397" t="s">
        <v>125</v>
      </c>
      <c r="N397">
        <v>12</v>
      </c>
    </row>
    <row r="398" spans="2:14" x14ac:dyDescent="0.3">
      <c r="B398">
        <v>397</v>
      </c>
      <c r="C398" t="s">
        <v>283</v>
      </c>
      <c r="D398" t="s">
        <v>10</v>
      </c>
      <c r="E398" t="s">
        <v>14</v>
      </c>
      <c r="F398" t="s">
        <v>22</v>
      </c>
      <c r="G398" t="s">
        <v>32</v>
      </c>
      <c r="H398">
        <v>80</v>
      </c>
      <c r="I398">
        <v>1</v>
      </c>
      <c r="J398">
        <v>2</v>
      </c>
      <c r="K398" t="s">
        <v>127</v>
      </c>
      <c r="L398" t="s">
        <v>112</v>
      </c>
      <c r="M398" t="s">
        <v>125</v>
      </c>
      <c r="N398">
        <v>12</v>
      </c>
    </row>
    <row r="399" spans="2:14" x14ac:dyDescent="0.3">
      <c r="B399">
        <v>398</v>
      </c>
      <c r="C399" t="s">
        <v>284</v>
      </c>
      <c r="D399" t="s">
        <v>9</v>
      </c>
      <c r="E399" t="s">
        <v>14</v>
      </c>
      <c r="F399" t="s">
        <v>22</v>
      </c>
      <c r="G399" t="s">
        <v>32</v>
      </c>
      <c r="H399">
        <v>130</v>
      </c>
      <c r="I399">
        <v>3</v>
      </c>
      <c r="J399">
        <v>1</v>
      </c>
      <c r="K399" t="s">
        <v>127</v>
      </c>
      <c r="L399" t="s">
        <v>112</v>
      </c>
      <c r="M399" t="s">
        <v>125</v>
      </c>
      <c r="N399">
        <v>12</v>
      </c>
    </row>
    <row r="400" spans="2:14" x14ac:dyDescent="0.3">
      <c r="B400">
        <v>399</v>
      </c>
      <c r="C400" t="s">
        <v>285</v>
      </c>
      <c r="D400" t="s">
        <v>10</v>
      </c>
      <c r="E400" t="s">
        <v>14</v>
      </c>
      <c r="F400" t="s">
        <v>22</v>
      </c>
      <c r="G400" t="s">
        <v>32</v>
      </c>
      <c r="H400">
        <v>85</v>
      </c>
      <c r="I400">
        <v>1</v>
      </c>
      <c r="J400">
        <v>0</v>
      </c>
      <c r="K400" t="s">
        <v>127</v>
      </c>
      <c r="L400" t="s">
        <v>112</v>
      </c>
      <c r="M400" t="s">
        <v>125</v>
      </c>
      <c r="N400">
        <v>12</v>
      </c>
    </row>
    <row r="401" spans="2:14" x14ac:dyDescent="0.3">
      <c r="B401">
        <v>400</v>
      </c>
      <c r="C401" t="s">
        <v>286</v>
      </c>
      <c r="D401" t="s">
        <v>11</v>
      </c>
      <c r="E401" t="s">
        <v>14</v>
      </c>
      <c r="F401" t="s">
        <v>22</v>
      </c>
      <c r="G401" t="s">
        <v>32</v>
      </c>
      <c r="H401">
        <v>50</v>
      </c>
      <c r="I401">
        <v>1</v>
      </c>
      <c r="J401">
        <v>1</v>
      </c>
      <c r="K401" t="s">
        <v>127</v>
      </c>
      <c r="L401" t="s">
        <v>112</v>
      </c>
      <c r="M401" t="s">
        <v>125</v>
      </c>
      <c r="N401">
        <v>12</v>
      </c>
    </row>
    <row r="402" spans="2:14" x14ac:dyDescent="0.3">
      <c r="B402">
        <v>401</v>
      </c>
      <c r="C402" t="s">
        <v>287</v>
      </c>
      <c r="D402" t="s">
        <v>11</v>
      </c>
      <c r="E402" t="s">
        <v>16</v>
      </c>
      <c r="F402" t="s">
        <v>24</v>
      </c>
      <c r="G402" t="s">
        <v>33</v>
      </c>
      <c r="H402">
        <v>50</v>
      </c>
      <c r="I402">
        <v>1</v>
      </c>
      <c r="J402">
        <v>2</v>
      </c>
      <c r="K402" t="s">
        <v>127</v>
      </c>
      <c r="L402" t="s">
        <v>112</v>
      </c>
      <c r="M402" t="s">
        <v>125</v>
      </c>
      <c r="N402">
        <v>12</v>
      </c>
    </row>
    <row r="403" spans="2:14" x14ac:dyDescent="0.3">
      <c r="B403">
        <v>402</v>
      </c>
      <c r="C403" t="s">
        <v>288</v>
      </c>
      <c r="D403" t="s">
        <v>13</v>
      </c>
      <c r="E403" t="s">
        <v>14</v>
      </c>
      <c r="F403" t="s">
        <v>22</v>
      </c>
      <c r="G403" t="s">
        <v>32</v>
      </c>
      <c r="H403">
        <v>21</v>
      </c>
      <c r="I403">
        <v>1</v>
      </c>
      <c r="J403">
        <v>3</v>
      </c>
      <c r="K403" t="s">
        <v>127</v>
      </c>
      <c r="L403" t="s">
        <v>112</v>
      </c>
      <c r="M403" t="s">
        <v>125</v>
      </c>
      <c r="N403">
        <v>12</v>
      </c>
    </row>
    <row r="404" spans="2:14" x14ac:dyDescent="0.3">
      <c r="B404">
        <v>403</v>
      </c>
      <c r="C404" t="s">
        <v>289</v>
      </c>
      <c r="D404" t="s">
        <v>11</v>
      </c>
      <c r="E404" t="s">
        <v>14</v>
      </c>
      <c r="F404" t="s">
        <v>22</v>
      </c>
      <c r="G404" t="s">
        <v>32</v>
      </c>
      <c r="H404">
        <v>35</v>
      </c>
      <c r="I404">
        <v>2</v>
      </c>
      <c r="J404">
        <v>1</v>
      </c>
      <c r="K404" t="s">
        <v>127</v>
      </c>
      <c r="L404" t="s">
        <v>112</v>
      </c>
      <c r="M404" t="s">
        <v>125</v>
      </c>
      <c r="N404">
        <v>12</v>
      </c>
    </row>
    <row r="405" spans="2:14" x14ac:dyDescent="0.3">
      <c r="B405">
        <v>404</v>
      </c>
      <c r="C405" t="s">
        <v>290</v>
      </c>
      <c r="D405" t="s">
        <v>13</v>
      </c>
      <c r="E405" t="s">
        <v>16</v>
      </c>
      <c r="F405" t="s">
        <v>24</v>
      </c>
      <c r="G405" t="s">
        <v>33</v>
      </c>
      <c r="H405">
        <v>32</v>
      </c>
      <c r="I405">
        <v>3</v>
      </c>
      <c r="J405">
        <v>0</v>
      </c>
      <c r="K405" t="s">
        <v>127</v>
      </c>
      <c r="L405" t="s">
        <v>112</v>
      </c>
      <c r="M405" t="s">
        <v>125</v>
      </c>
      <c r="N405">
        <v>12</v>
      </c>
    </row>
    <row r="406" spans="2:14" x14ac:dyDescent="0.3">
      <c r="B406">
        <v>405</v>
      </c>
      <c r="C406" t="s">
        <v>291</v>
      </c>
      <c r="D406" t="s">
        <v>9</v>
      </c>
      <c r="E406" t="s">
        <v>14</v>
      </c>
      <c r="F406" t="s">
        <v>22</v>
      </c>
      <c r="G406" t="s">
        <v>32</v>
      </c>
      <c r="H406">
        <v>122</v>
      </c>
      <c r="I406">
        <v>1</v>
      </c>
      <c r="J406">
        <v>3</v>
      </c>
      <c r="K406" t="s">
        <v>127</v>
      </c>
      <c r="L406" t="s">
        <v>112</v>
      </c>
      <c r="M406" t="s">
        <v>125</v>
      </c>
      <c r="N406">
        <v>12</v>
      </c>
    </row>
    <row r="407" spans="2:14" x14ac:dyDescent="0.3">
      <c r="B407">
        <v>406</v>
      </c>
      <c r="C407" t="s">
        <v>292</v>
      </c>
      <c r="D407" t="s">
        <v>12</v>
      </c>
      <c r="E407" t="s">
        <v>16</v>
      </c>
      <c r="F407" t="s">
        <v>24</v>
      </c>
      <c r="G407" t="s">
        <v>33</v>
      </c>
      <c r="H407">
        <v>32</v>
      </c>
      <c r="I407">
        <v>2</v>
      </c>
      <c r="J407">
        <v>4</v>
      </c>
      <c r="K407" t="s">
        <v>127</v>
      </c>
      <c r="L407" t="s">
        <v>112</v>
      </c>
      <c r="M407" t="s">
        <v>125</v>
      </c>
      <c r="N407">
        <v>12</v>
      </c>
    </row>
    <row r="408" spans="2:14" x14ac:dyDescent="0.3">
      <c r="B408">
        <v>407</v>
      </c>
      <c r="C408" t="s">
        <v>293</v>
      </c>
      <c r="D408" t="s">
        <v>9</v>
      </c>
      <c r="E408" t="s">
        <v>19</v>
      </c>
      <c r="F408" t="s">
        <v>28</v>
      </c>
      <c r="G408" t="s">
        <v>34</v>
      </c>
      <c r="H408">
        <v>130</v>
      </c>
      <c r="I408">
        <v>1</v>
      </c>
      <c r="J408">
        <v>5</v>
      </c>
      <c r="K408" t="s">
        <v>127</v>
      </c>
      <c r="L408" t="s">
        <v>112</v>
      </c>
      <c r="M408" t="s">
        <v>125</v>
      </c>
      <c r="N408">
        <v>12</v>
      </c>
    </row>
    <row r="409" spans="2:14" x14ac:dyDescent="0.3">
      <c r="B409">
        <v>408</v>
      </c>
      <c r="C409" t="s">
        <v>294</v>
      </c>
      <c r="D409" t="s">
        <v>11</v>
      </c>
      <c r="E409" t="s">
        <v>14</v>
      </c>
      <c r="F409" t="s">
        <v>22</v>
      </c>
      <c r="G409" t="s">
        <v>32</v>
      </c>
      <c r="H409">
        <v>50</v>
      </c>
      <c r="I409">
        <v>1</v>
      </c>
      <c r="J409">
        <v>1</v>
      </c>
      <c r="K409" t="s">
        <v>127</v>
      </c>
      <c r="L409" t="s">
        <v>112</v>
      </c>
      <c r="M409" t="s">
        <v>125</v>
      </c>
      <c r="N409">
        <v>12</v>
      </c>
    </row>
    <row r="410" spans="2:14" x14ac:dyDescent="0.3">
      <c r="B410">
        <v>409</v>
      </c>
      <c r="C410" t="s">
        <v>295</v>
      </c>
      <c r="D410" t="s">
        <v>13</v>
      </c>
      <c r="E410" t="s">
        <v>16</v>
      </c>
      <c r="F410" t="s">
        <v>24</v>
      </c>
      <c r="G410" t="s">
        <v>33</v>
      </c>
      <c r="H410">
        <v>37</v>
      </c>
      <c r="I410">
        <v>2</v>
      </c>
      <c r="J410">
        <v>1</v>
      </c>
      <c r="K410" t="s">
        <v>127</v>
      </c>
      <c r="L410" t="s">
        <v>112</v>
      </c>
      <c r="M410" t="s">
        <v>125</v>
      </c>
      <c r="N410">
        <v>12</v>
      </c>
    </row>
    <row r="411" spans="2:14" x14ac:dyDescent="0.3">
      <c r="B411">
        <v>410</v>
      </c>
      <c r="C411" t="s">
        <v>296</v>
      </c>
      <c r="D411" t="s">
        <v>13</v>
      </c>
      <c r="E411" t="s">
        <v>16</v>
      </c>
      <c r="F411" t="s">
        <v>24</v>
      </c>
      <c r="G411" t="s">
        <v>33</v>
      </c>
      <c r="H411">
        <v>33</v>
      </c>
      <c r="I411">
        <v>1</v>
      </c>
      <c r="J411">
        <v>1</v>
      </c>
      <c r="K411" t="s">
        <v>127</v>
      </c>
      <c r="L411" t="s">
        <v>112</v>
      </c>
      <c r="M411" t="s">
        <v>125</v>
      </c>
      <c r="N411">
        <v>12</v>
      </c>
    </row>
    <row r="412" spans="2:14" x14ac:dyDescent="0.3">
      <c r="B412">
        <v>411</v>
      </c>
      <c r="C412" t="s">
        <v>297</v>
      </c>
      <c r="D412" t="s">
        <v>13</v>
      </c>
      <c r="E412" t="s">
        <v>19</v>
      </c>
      <c r="F412" t="s">
        <v>28</v>
      </c>
      <c r="G412" t="s">
        <v>34</v>
      </c>
      <c r="H412">
        <v>32</v>
      </c>
      <c r="I412">
        <v>2</v>
      </c>
      <c r="J412">
        <v>3</v>
      </c>
      <c r="K412" t="s">
        <v>127</v>
      </c>
      <c r="L412" t="s">
        <v>112</v>
      </c>
      <c r="M412" t="s">
        <v>125</v>
      </c>
      <c r="N412">
        <v>12</v>
      </c>
    </row>
    <row r="413" spans="2:14" x14ac:dyDescent="0.3">
      <c r="B413">
        <v>412</v>
      </c>
      <c r="C413" t="s">
        <v>298</v>
      </c>
      <c r="D413" t="s">
        <v>9</v>
      </c>
      <c r="E413" t="s">
        <v>14</v>
      </c>
      <c r="F413" t="s">
        <v>22</v>
      </c>
      <c r="G413" t="s">
        <v>32</v>
      </c>
      <c r="H413">
        <v>113</v>
      </c>
      <c r="I413">
        <v>3</v>
      </c>
      <c r="J413">
        <v>1</v>
      </c>
      <c r="K413" t="s">
        <v>127</v>
      </c>
      <c r="L413" t="s">
        <v>112</v>
      </c>
      <c r="M413" t="s">
        <v>125</v>
      </c>
      <c r="N413">
        <v>12</v>
      </c>
    </row>
    <row r="414" spans="2:14" x14ac:dyDescent="0.3">
      <c r="B414">
        <v>413</v>
      </c>
      <c r="C414" t="s">
        <v>299</v>
      </c>
      <c r="D414" t="s">
        <v>11</v>
      </c>
      <c r="E414" t="s">
        <v>14</v>
      </c>
      <c r="F414" t="s">
        <v>22</v>
      </c>
      <c r="G414" t="s">
        <v>32</v>
      </c>
      <c r="H414">
        <v>50</v>
      </c>
      <c r="I414">
        <v>3</v>
      </c>
      <c r="J414">
        <v>0</v>
      </c>
      <c r="K414" t="s">
        <v>127</v>
      </c>
      <c r="L414" t="s">
        <v>112</v>
      </c>
      <c r="M414" t="s">
        <v>125</v>
      </c>
      <c r="N414">
        <v>12</v>
      </c>
    </row>
    <row r="415" spans="2:14" x14ac:dyDescent="0.3">
      <c r="B415">
        <v>414</v>
      </c>
      <c r="C415" t="s">
        <v>300</v>
      </c>
      <c r="D415" t="s">
        <v>12</v>
      </c>
      <c r="E415" t="s">
        <v>16</v>
      </c>
      <c r="F415" t="s">
        <v>24</v>
      </c>
      <c r="G415" t="s">
        <v>33</v>
      </c>
      <c r="H415">
        <v>30</v>
      </c>
      <c r="I415">
        <v>1</v>
      </c>
      <c r="J415">
        <v>3</v>
      </c>
      <c r="K415" t="s">
        <v>127</v>
      </c>
      <c r="L415" t="s">
        <v>112</v>
      </c>
      <c r="M415" t="s">
        <v>125</v>
      </c>
      <c r="N415">
        <v>12</v>
      </c>
    </row>
    <row r="416" spans="2:14" x14ac:dyDescent="0.3">
      <c r="B416">
        <v>415</v>
      </c>
      <c r="C416" t="s">
        <v>301</v>
      </c>
      <c r="D416" t="s">
        <v>13</v>
      </c>
      <c r="E416" t="s">
        <v>14</v>
      </c>
      <c r="F416" t="s">
        <v>22</v>
      </c>
      <c r="G416" t="s">
        <v>32</v>
      </c>
      <c r="H416">
        <v>31</v>
      </c>
      <c r="I416">
        <v>2</v>
      </c>
      <c r="J416">
        <v>1</v>
      </c>
      <c r="K416" t="s">
        <v>127</v>
      </c>
      <c r="L416" t="s">
        <v>112</v>
      </c>
      <c r="M416" t="s">
        <v>125</v>
      </c>
      <c r="N416">
        <v>12</v>
      </c>
    </row>
    <row r="417" spans="2:14" x14ac:dyDescent="0.3">
      <c r="B417">
        <v>416</v>
      </c>
      <c r="C417" t="s">
        <v>302</v>
      </c>
      <c r="D417" t="s">
        <v>10</v>
      </c>
      <c r="E417" t="s">
        <v>16</v>
      </c>
      <c r="F417" t="s">
        <v>24</v>
      </c>
      <c r="G417" t="s">
        <v>33</v>
      </c>
      <c r="H417">
        <v>90</v>
      </c>
      <c r="I417">
        <v>1</v>
      </c>
      <c r="J417">
        <v>1</v>
      </c>
      <c r="K417" t="s">
        <v>127</v>
      </c>
      <c r="L417" t="s">
        <v>112</v>
      </c>
      <c r="M417" t="s">
        <v>125</v>
      </c>
      <c r="N417">
        <v>12</v>
      </c>
    </row>
    <row r="418" spans="2:14" x14ac:dyDescent="0.3">
      <c r="B418">
        <v>417</v>
      </c>
      <c r="C418" t="s">
        <v>303</v>
      </c>
      <c r="D418" t="s">
        <v>9</v>
      </c>
      <c r="E418" t="s">
        <v>14</v>
      </c>
      <c r="F418" t="s">
        <v>22</v>
      </c>
      <c r="G418" t="s">
        <v>32</v>
      </c>
      <c r="H418">
        <v>117</v>
      </c>
      <c r="I418">
        <v>1</v>
      </c>
      <c r="J418">
        <v>0</v>
      </c>
      <c r="K418" t="s">
        <v>127</v>
      </c>
      <c r="L418" t="s">
        <v>112</v>
      </c>
      <c r="M418" t="s">
        <v>125</v>
      </c>
      <c r="N418">
        <v>12</v>
      </c>
    </row>
    <row r="419" spans="2:14" x14ac:dyDescent="0.3">
      <c r="B419">
        <v>418</v>
      </c>
      <c r="C419" t="s">
        <v>304</v>
      </c>
      <c r="D419" t="s">
        <v>13</v>
      </c>
      <c r="E419" t="s">
        <v>19</v>
      </c>
      <c r="F419" t="s">
        <v>28</v>
      </c>
      <c r="G419" t="s">
        <v>34</v>
      </c>
      <c r="H419">
        <v>30</v>
      </c>
      <c r="I419">
        <v>2</v>
      </c>
      <c r="J419">
        <v>2</v>
      </c>
      <c r="K419" t="s">
        <v>127</v>
      </c>
      <c r="L419" t="s">
        <v>112</v>
      </c>
      <c r="M419" t="s">
        <v>125</v>
      </c>
      <c r="N419">
        <v>12</v>
      </c>
    </row>
    <row r="420" spans="2:14" x14ac:dyDescent="0.3">
      <c r="B420">
        <v>419</v>
      </c>
      <c r="C420" t="s">
        <v>305</v>
      </c>
      <c r="D420" t="s">
        <v>10</v>
      </c>
      <c r="E420" t="s">
        <v>14</v>
      </c>
      <c r="F420" t="s">
        <v>22</v>
      </c>
      <c r="G420" t="s">
        <v>32</v>
      </c>
      <c r="H420">
        <v>100</v>
      </c>
      <c r="I420">
        <v>1</v>
      </c>
      <c r="J420">
        <v>0</v>
      </c>
      <c r="K420" t="s">
        <v>127</v>
      </c>
      <c r="L420" t="s">
        <v>112</v>
      </c>
      <c r="M420" t="s">
        <v>125</v>
      </c>
      <c r="N420">
        <v>12</v>
      </c>
    </row>
    <row r="421" spans="2:14" x14ac:dyDescent="0.3">
      <c r="B421">
        <v>420</v>
      </c>
      <c r="C421" t="s">
        <v>306</v>
      </c>
      <c r="D421" t="s">
        <v>11</v>
      </c>
      <c r="E421" t="s">
        <v>16</v>
      </c>
      <c r="F421" t="s">
        <v>24</v>
      </c>
      <c r="G421" t="s">
        <v>33</v>
      </c>
      <c r="H421">
        <v>50</v>
      </c>
      <c r="I421">
        <v>4</v>
      </c>
      <c r="J421">
        <v>1</v>
      </c>
      <c r="K421" t="s">
        <v>127</v>
      </c>
      <c r="L421" t="s">
        <v>112</v>
      </c>
      <c r="M421" t="s">
        <v>125</v>
      </c>
      <c r="N421">
        <v>12</v>
      </c>
    </row>
    <row r="422" spans="2:14" x14ac:dyDescent="0.3">
      <c r="B422">
        <v>421</v>
      </c>
      <c r="C422" t="s">
        <v>307</v>
      </c>
      <c r="D422" t="s">
        <v>9</v>
      </c>
      <c r="E422" t="s">
        <v>16</v>
      </c>
      <c r="F422" t="s">
        <v>24</v>
      </c>
      <c r="G422" t="s">
        <v>33</v>
      </c>
      <c r="H422">
        <v>119</v>
      </c>
      <c r="I422">
        <v>2</v>
      </c>
      <c r="J422">
        <v>2</v>
      </c>
      <c r="K422" t="s">
        <v>127</v>
      </c>
      <c r="L422" t="s">
        <v>112</v>
      </c>
      <c r="M422" t="s">
        <v>125</v>
      </c>
      <c r="N422">
        <v>12</v>
      </c>
    </row>
    <row r="423" spans="2:14" x14ac:dyDescent="0.3">
      <c r="B423">
        <v>422</v>
      </c>
      <c r="C423" t="s">
        <v>308</v>
      </c>
      <c r="D423" t="s">
        <v>13</v>
      </c>
      <c r="E423" t="s">
        <v>14</v>
      </c>
      <c r="F423" t="s">
        <v>22</v>
      </c>
      <c r="G423" t="s">
        <v>32</v>
      </c>
      <c r="H423">
        <v>29</v>
      </c>
      <c r="I423">
        <v>1</v>
      </c>
      <c r="J423">
        <v>2</v>
      </c>
      <c r="K423" t="s">
        <v>127</v>
      </c>
      <c r="L423" t="s">
        <v>112</v>
      </c>
      <c r="M423" t="s">
        <v>125</v>
      </c>
      <c r="N423">
        <v>12</v>
      </c>
    </row>
    <row r="424" spans="2:14" x14ac:dyDescent="0.3">
      <c r="B424">
        <v>423</v>
      </c>
      <c r="C424" t="s">
        <v>309</v>
      </c>
      <c r="D424" t="s">
        <v>11</v>
      </c>
      <c r="E424" t="s">
        <v>16</v>
      </c>
      <c r="F424" t="s">
        <v>24</v>
      </c>
      <c r="G424" t="s">
        <v>33</v>
      </c>
      <c r="H424">
        <v>35</v>
      </c>
      <c r="I424">
        <v>1</v>
      </c>
      <c r="J424">
        <v>5</v>
      </c>
      <c r="K424" t="s">
        <v>127</v>
      </c>
      <c r="L424" t="s">
        <v>112</v>
      </c>
      <c r="M424" t="s">
        <v>125</v>
      </c>
      <c r="N424">
        <v>12</v>
      </c>
    </row>
    <row r="425" spans="2:14" x14ac:dyDescent="0.3">
      <c r="B425">
        <v>424</v>
      </c>
      <c r="C425" t="s">
        <v>310</v>
      </c>
      <c r="D425" t="s">
        <v>10</v>
      </c>
      <c r="E425" t="s">
        <v>14</v>
      </c>
      <c r="F425" t="s">
        <v>22</v>
      </c>
      <c r="G425" t="s">
        <v>32</v>
      </c>
      <c r="H425">
        <v>99</v>
      </c>
      <c r="I425">
        <v>3</v>
      </c>
      <c r="J425">
        <v>2</v>
      </c>
      <c r="K425" t="s">
        <v>127</v>
      </c>
      <c r="L425" t="s">
        <v>112</v>
      </c>
      <c r="M425" t="s">
        <v>125</v>
      </c>
      <c r="N425">
        <v>12</v>
      </c>
    </row>
    <row r="426" spans="2:14" x14ac:dyDescent="0.3">
      <c r="B426">
        <v>425</v>
      </c>
      <c r="C426" t="s">
        <v>311</v>
      </c>
      <c r="D426" t="s">
        <v>9</v>
      </c>
      <c r="E426" t="s">
        <v>16</v>
      </c>
      <c r="F426" t="s">
        <v>24</v>
      </c>
      <c r="G426" t="s">
        <v>33</v>
      </c>
      <c r="H426">
        <v>119</v>
      </c>
      <c r="I426">
        <v>1</v>
      </c>
      <c r="J426">
        <v>1</v>
      </c>
      <c r="K426" t="s">
        <v>127</v>
      </c>
      <c r="L426" t="s">
        <v>109</v>
      </c>
      <c r="M426" t="s">
        <v>114</v>
      </c>
      <c r="N426">
        <v>1</v>
      </c>
    </row>
    <row r="427" spans="2:14" x14ac:dyDescent="0.3">
      <c r="B427">
        <v>426</v>
      </c>
      <c r="C427" t="s">
        <v>312</v>
      </c>
      <c r="D427" t="s">
        <v>12</v>
      </c>
      <c r="E427" t="s">
        <v>16</v>
      </c>
      <c r="F427" t="s">
        <v>24</v>
      </c>
      <c r="G427" t="s">
        <v>33</v>
      </c>
      <c r="H427">
        <v>30</v>
      </c>
      <c r="I427">
        <v>1</v>
      </c>
      <c r="J427">
        <v>1</v>
      </c>
      <c r="K427" t="s">
        <v>127</v>
      </c>
      <c r="L427" t="s">
        <v>109</v>
      </c>
      <c r="M427" t="s">
        <v>114</v>
      </c>
      <c r="N427">
        <v>1</v>
      </c>
    </row>
    <row r="428" spans="2:14" x14ac:dyDescent="0.3">
      <c r="B428">
        <v>427</v>
      </c>
      <c r="C428" t="s">
        <v>313</v>
      </c>
      <c r="D428" t="s">
        <v>13</v>
      </c>
      <c r="E428" t="s">
        <v>19</v>
      </c>
      <c r="F428" t="s">
        <v>28</v>
      </c>
      <c r="G428" t="s">
        <v>34</v>
      </c>
      <c r="H428">
        <v>27</v>
      </c>
      <c r="I428">
        <v>2</v>
      </c>
      <c r="J428">
        <v>2</v>
      </c>
      <c r="K428" t="s">
        <v>127</v>
      </c>
      <c r="L428" t="s">
        <v>109</v>
      </c>
      <c r="M428" t="s">
        <v>114</v>
      </c>
      <c r="N428">
        <v>1</v>
      </c>
    </row>
    <row r="429" spans="2:14" x14ac:dyDescent="0.3">
      <c r="B429">
        <v>428</v>
      </c>
      <c r="C429" t="s">
        <v>314</v>
      </c>
      <c r="D429" t="s">
        <v>10</v>
      </c>
      <c r="E429" t="s">
        <v>19</v>
      </c>
      <c r="F429" t="s">
        <v>28</v>
      </c>
      <c r="G429" t="s">
        <v>34</v>
      </c>
      <c r="H429">
        <v>90</v>
      </c>
      <c r="I429">
        <v>1</v>
      </c>
      <c r="J429">
        <v>1</v>
      </c>
      <c r="K429" t="s">
        <v>127</v>
      </c>
      <c r="L429" t="s">
        <v>109</v>
      </c>
      <c r="M429" t="s">
        <v>114</v>
      </c>
      <c r="N429">
        <v>1</v>
      </c>
    </row>
    <row r="430" spans="2:14" x14ac:dyDescent="0.3">
      <c r="B430">
        <v>429</v>
      </c>
      <c r="C430" t="s">
        <v>315</v>
      </c>
      <c r="D430" t="s">
        <v>10</v>
      </c>
      <c r="E430" t="s">
        <v>14</v>
      </c>
      <c r="F430" t="s">
        <v>22</v>
      </c>
      <c r="G430" t="s">
        <v>32</v>
      </c>
      <c r="H430">
        <v>93</v>
      </c>
      <c r="I430">
        <v>3</v>
      </c>
      <c r="J430">
        <v>1</v>
      </c>
      <c r="K430" t="s">
        <v>127</v>
      </c>
      <c r="L430" t="s">
        <v>109</v>
      </c>
      <c r="M430" t="s">
        <v>114</v>
      </c>
      <c r="N430">
        <v>1</v>
      </c>
    </row>
    <row r="431" spans="2:14" x14ac:dyDescent="0.3">
      <c r="B431">
        <v>430</v>
      </c>
      <c r="C431" t="s">
        <v>316</v>
      </c>
      <c r="D431" t="s">
        <v>10</v>
      </c>
      <c r="E431" t="s">
        <v>16</v>
      </c>
      <c r="F431" t="s">
        <v>24</v>
      </c>
      <c r="G431" t="s">
        <v>33</v>
      </c>
      <c r="H431">
        <v>93</v>
      </c>
      <c r="I431">
        <v>1</v>
      </c>
      <c r="J431">
        <v>1</v>
      </c>
      <c r="K431" t="s">
        <v>127</v>
      </c>
      <c r="L431" t="s">
        <v>109</v>
      </c>
      <c r="M431" t="s">
        <v>114</v>
      </c>
      <c r="N431">
        <v>1</v>
      </c>
    </row>
    <row r="432" spans="2:14" x14ac:dyDescent="0.3">
      <c r="B432">
        <v>431</v>
      </c>
      <c r="C432" t="s">
        <v>317</v>
      </c>
      <c r="D432" t="s">
        <v>13</v>
      </c>
      <c r="E432" t="s">
        <v>19</v>
      </c>
      <c r="F432" t="s">
        <v>28</v>
      </c>
      <c r="G432" t="s">
        <v>34</v>
      </c>
      <c r="H432">
        <v>32</v>
      </c>
      <c r="I432">
        <v>1</v>
      </c>
      <c r="J432">
        <v>0</v>
      </c>
      <c r="K432" t="s">
        <v>127</v>
      </c>
      <c r="L432" t="s">
        <v>109</v>
      </c>
      <c r="M432" t="s">
        <v>114</v>
      </c>
      <c r="N432">
        <v>1</v>
      </c>
    </row>
    <row r="433" spans="2:14" x14ac:dyDescent="0.3">
      <c r="B433">
        <v>432</v>
      </c>
      <c r="C433" t="s">
        <v>318</v>
      </c>
      <c r="D433" t="s">
        <v>13</v>
      </c>
      <c r="E433" t="s">
        <v>16</v>
      </c>
      <c r="F433" t="s">
        <v>24</v>
      </c>
      <c r="G433" t="s">
        <v>33</v>
      </c>
      <c r="H433">
        <v>50</v>
      </c>
      <c r="I433">
        <v>3</v>
      </c>
      <c r="J433">
        <v>1</v>
      </c>
      <c r="K433" t="s">
        <v>127</v>
      </c>
      <c r="L433" t="s">
        <v>109</v>
      </c>
      <c r="M433" t="s">
        <v>114</v>
      </c>
      <c r="N433">
        <v>1</v>
      </c>
    </row>
    <row r="434" spans="2:14" x14ac:dyDescent="0.3">
      <c r="B434">
        <v>433</v>
      </c>
      <c r="C434" t="s">
        <v>319</v>
      </c>
      <c r="D434" t="s">
        <v>9</v>
      </c>
      <c r="E434" t="s">
        <v>14</v>
      </c>
      <c r="F434" t="s">
        <v>22</v>
      </c>
      <c r="G434" t="s">
        <v>32</v>
      </c>
      <c r="H434">
        <v>105</v>
      </c>
      <c r="I434">
        <v>3</v>
      </c>
      <c r="J434">
        <v>2</v>
      </c>
      <c r="K434" t="s">
        <v>127</v>
      </c>
      <c r="L434" t="s">
        <v>109</v>
      </c>
      <c r="M434" t="s">
        <v>114</v>
      </c>
      <c r="N434">
        <v>1</v>
      </c>
    </row>
    <row r="435" spans="2:14" x14ac:dyDescent="0.3">
      <c r="B435">
        <v>434</v>
      </c>
      <c r="C435" t="s">
        <v>320</v>
      </c>
      <c r="D435" t="s">
        <v>12</v>
      </c>
      <c r="E435" t="s">
        <v>14</v>
      </c>
      <c r="F435" t="s">
        <v>22</v>
      </c>
      <c r="G435" t="s">
        <v>32</v>
      </c>
      <c r="H435">
        <v>30</v>
      </c>
      <c r="I435">
        <v>1</v>
      </c>
      <c r="J435">
        <v>1</v>
      </c>
      <c r="K435" t="s">
        <v>127</v>
      </c>
      <c r="L435" t="s">
        <v>109</v>
      </c>
      <c r="M435" t="s">
        <v>114</v>
      </c>
      <c r="N435">
        <v>1</v>
      </c>
    </row>
    <row r="436" spans="2:14" x14ac:dyDescent="0.3">
      <c r="B436">
        <v>435</v>
      </c>
      <c r="C436" t="s">
        <v>321</v>
      </c>
      <c r="D436" t="s">
        <v>12</v>
      </c>
      <c r="E436" t="s">
        <v>16</v>
      </c>
      <c r="F436" t="s">
        <v>24</v>
      </c>
      <c r="G436" t="s">
        <v>33</v>
      </c>
      <c r="H436">
        <v>32</v>
      </c>
      <c r="I436">
        <v>1</v>
      </c>
      <c r="J436">
        <v>0</v>
      </c>
      <c r="K436" t="s">
        <v>127</v>
      </c>
      <c r="L436" t="s">
        <v>109</v>
      </c>
      <c r="M436" t="s">
        <v>114</v>
      </c>
      <c r="N436">
        <v>1</v>
      </c>
    </row>
    <row r="437" spans="2:14" x14ac:dyDescent="0.3">
      <c r="B437">
        <v>436</v>
      </c>
      <c r="C437" t="s">
        <v>322</v>
      </c>
      <c r="D437" t="s">
        <v>13</v>
      </c>
      <c r="E437" t="s">
        <v>14</v>
      </c>
      <c r="F437" t="s">
        <v>22</v>
      </c>
      <c r="G437" t="s">
        <v>32</v>
      </c>
      <c r="H437">
        <v>45</v>
      </c>
      <c r="I437">
        <v>1</v>
      </c>
      <c r="J437">
        <v>1</v>
      </c>
      <c r="K437" t="s">
        <v>127</v>
      </c>
      <c r="L437" t="s">
        <v>109</v>
      </c>
      <c r="M437" t="s">
        <v>114</v>
      </c>
      <c r="N437">
        <v>1</v>
      </c>
    </row>
    <row r="438" spans="2:14" x14ac:dyDescent="0.3">
      <c r="B438">
        <v>437</v>
      </c>
      <c r="C438" t="s">
        <v>323</v>
      </c>
      <c r="D438" t="s">
        <v>11</v>
      </c>
      <c r="E438" t="s">
        <v>16</v>
      </c>
      <c r="F438" t="s">
        <v>24</v>
      </c>
      <c r="G438" t="s">
        <v>33</v>
      </c>
      <c r="H438">
        <v>50</v>
      </c>
      <c r="I438">
        <v>3</v>
      </c>
      <c r="J438">
        <v>0</v>
      </c>
      <c r="K438" t="s">
        <v>127</v>
      </c>
      <c r="L438" t="s">
        <v>109</v>
      </c>
      <c r="M438" t="s">
        <v>114</v>
      </c>
      <c r="N438">
        <v>1</v>
      </c>
    </row>
    <row r="439" spans="2:14" x14ac:dyDescent="0.3">
      <c r="B439">
        <v>438</v>
      </c>
      <c r="C439" t="s">
        <v>324</v>
      </c>
      <c r="D439" t="s">
        <v>12</v>
      </c>
      <c r="E439" t="s">
        <v>16</v>
      </c>
      <c r="F439" t="s">
        <v>24</v>
      </c>
      <c r="G439" t="s">
        <v>33</v>
      </c>
      <c r="H439">
        <v>30</v>
      </c>
      <c r="I439">
        <v>2</v>
      </c>
      <c r="J439">
        <v>1</v>
      </c>
      <c r="K439" t="s">
        <v>127</v>
      </c>
      <c r="L439" t="s">
        <v>109</v>
      </c>
      <c r="M439" t="s">
        <v>114</v>
      </c>
      <c r="N439">
        <v>1</v>
      </c>
    </row>
    <row r="440" spans="2:14" x14ac:dyDescent="0.3">
      <c r="B440">
        <v>439</v>
      </c>
      <c r="C440" t="s">
        <v>325</v>
      </c>
      <c r="D440" t="s">
        <v>10</v>
      </c>
      <c r="E440" t="s">
        <v>19</v>
      </c>
      <c r="F440" t="s">
        <v>28</v>
      </c>
      <c r="G440" t="s">
        <v>34</v>
      </c>
      <c r="H440">
        <v>90</v>
      </c>
      <c r="I440">
        <v>1</v>
      </c>
      <c r="J440">
        <v>3</v>
      </c>
      <c r="K440" t="s">
        <v>127</v>
      </c>
      <c r="L440" t="s">
        <v>109</v>
      </c>
      <c r="M440" t="s">
        <v>114</v>
      </c>
      <c r="N440">
        <v>1</v>
      </c>
    </row>
    <row r="441" spans="2:14" x14ac:dyDescent="0.3">
      <c r="B441">
        <v>440</v>
      </c>
      <c r="C441" t="s">
        <v>326</v>
      </c>
      <c r="D441" t="s">
        <v>12</v>
      </c>
      <c r="E441" t="s">
        <v>14</v>
      </c>
      <c r="F441" t="s">
        <v>22</v>
      </c>
      <c r="G441" t="s">
        <v>32</v>
      </c>
      <c r="H441">
        <v>28</v>
      </c>
      <c r="I441">
        <v>1</v>
      </c>
      <c r="J441">
        <v>1</v>
      </c>
      <c r="K441" t="s">
        <v>127</v>
      </c>
      <c r="L441" t="s">
        <v>109</v>
      </c>
      <c r="M441" t="s">
        <v>114</v>
      </c>
      <c r="N441">
        <v>1</v>
      </c>
    </row>
    <row r="442" spans="2:14" x14ac:dyDescent="0.3">
      <c r="B442">
        <v>441</v>
      </c>
      <c r="C442" t="s">
        <v>327</v>
      </c>
      <c r="D442" t="s">
        <v>11</v>
      </c>
      <c r="E442" t="s">
        <v>14</v>
      </c>
      <c r="F442" t="s">
        <v>22</v>
      </c>
      <c r="G442" t="s">
        <v>32</v>
      </c>
      <c r="H442">
        <v>34</v>
      </c>
      <c r="I442">
        <v>2</v>
      </c>
      <c r="J442">
        <v>1</v>
      </c>
      <c r="K442" t="s">
        <v>127</v>
      </c>
      <c r="L442" t="s">
        <v>109</v>
      </c>
      <c r="M442" t="s">
        <v>114</v>
      </c>
      <c r="N442">
        <v>1</v>
      </c>
    </row>
    <row r="443" spans="2:14" x14ac:dyDescent="0.3">
      <c r="B443">
        <v>442</v>
      </c>
      <c r="C443" t="s">
        <v>328</v>
      </c>
      <c r="D443" t="s">
        <v>13</v>
      </c>
      <c r="E443" t="s">
        <v>14</v>
      </c>
      <c r="F443" t="s">
        <v>22</v>
      </c>
      <c r="G443" t="s">
        <v>32</v>
      </c>
      <c r="H443">
        <v>44</v>
      </c>
      <c r="I443">
        <v>4</v>
      </c>
      <c r="J443">
        <v>2</v>
      </c>
      <c r="K443" t="s">
        <v>127</v>
      </c>
      <c r="L443" t="s">
        <v>109</v>
      </c>
      <c r="M443" t="s">
        <v>114</v>
      </c>
      <c r="N443">
        <v>1</v>
      </c>
    </row>
    <row r="444" spans="2:14" x14ac:dyDescent="0.3">
      <c r="B444">
        <v>443</v>
      </c>
      <c r="C444" t="s">
        <v>329</v>
      </c>
      <c r="D444" t="s">
        <v>11</v>
      </c>
      <c r="E444" t="s">
        <v>14</v>
      </c>
      <c r="F444" t="s">
        <v>22</v>
      </c>
      <c r="G444" t="s">
        <v>32</v>
      </c>
      <c r="H444">
        <v>50</v>
      </c>
      <c r="I444">
        <v>1</v>
      </c>
      <c r="J444">
        <v>0</v>
      </c>
      <c r="K444" t="s">
        <v>127</v>
      </c>
      <c r="L444" t="s">
        <v>109</v>
      </c>
      <c r="M444" t="s">
        <v>114</v>
      </c>
      <c r="N444">
        <v>1</v>
      </c>
    </row>
    <row r="445" spans="2:14" x14ac:dyDescent="0.3">
      <c r="B445">
        <v>444</v>
      </c>
      <c r="C445" t="s">
        <v>330</v>
      </c>
      <c r="D445" t="s">
        <v>10</v>
      </c>
      <c r="E445" t="s">
        <v>14</v>
      </c>
      <c r="F445" t="s">
        <v>22</v>
      </c>
      <c r="G445" t="s">
        <v>32</v>
      </c>
      <c r="H445">
        <v>97</v>
      </c>
      <c r="I445">
        <v>4</v>
      </c>
      <c r="J445">
        <v>2</v>
      </c>
      <c r="K445" t="s">
        <v>127</v>
      </c>
      <c r="L445" t="s">
        <v>109</v>
      </c>
      <c r="M445" t="s">
        <v>114</v>
      </c>
      <c r="N445">
        <v>1</v>
      </c>
    </row>
    <row r="446" spans="2:14" x14ac:dyDescent="0.3">
      <c r="B446">
        <v>445</v>
      </c>
      <c r="C446" t="s">
        <v>331</v>
      </c>
      <c r="D446" t="s">
        <v>11</v>
      </c>
      <c r="E446" t="s">
        <v>19</v>
      </c>
      <c r="F446" t="s">
        <v>28</v>
      </c>
      <c r="G446" t="s">
        <v>34</v>
      </c>
      <c r="H446">
        <v>50</v>
      </c>
      <c r="I446">
        <v>1</v>
      </c>
      <c r="J446">
        <v>1</v>
      </c>
      <c r="K446" t="s">
        <v>127</v>
      </c>
      <c r="L446" t="s">
        <v>109</v>
      </c>
      <c r="M446" t="s">
        <v>114</v>
      </c>
      <c r="N446">
        <v>1</v>
      </c>
    </row>
    <row r="447" spans="2:14" x14ac:dyDescent="0.3">
      <c r="B447">
        <v>446</v>
      </c>
      <c r="C447" t="s">
        <v>332</v>
      </c>
      <c r="D447" t="s">
        <v>9</v>
      </c>
      <c r="E447" t="s">
        <v>14</v>
      </c>
      <c r="F447" t="s">
        <v>22</v>
      </c>
      <c r="G447" t="s">
        <v>32</v>
      </c>
      <c r="H447">
        <v>105</v>
      </c>
      <c r="I447">
        <v>1</v>
      </c>
      <c r="J447">
        <v>1</v>
      </c>
      <c r="K447" t="s">
        <v>127</v>
      </c>
      <c r="L447" t="s">
        <v>109</v>
      </c>
      <c r="M447" t="s">
        <v>114</v>
      </c>
      <c r="N447">
        <v>1</v>
      </c>
    </row>
    <row r="448" spans="2:14" x14ac:dyDescent="0.3">
      <c r="B448">
        <v>447</v>
      </c>
      <c r="C448" t="s">
        <v>333</v>
      </c>
      <c r="D448" t="s">
        <v>13</v>
      </c>
      <c r="E448" t="s">
        <v>16</v>
      </c>
      <c r="F448" t="s">
        <v>24</v>
      </c>
      <c r="G448" t="s">
        <v>33</v>
      </c>
      <c r="H448">
        <v>47</v>
      </c>
      <c r="I448">
        <v>1</v>
      </c>
      <c r="J448">
        <v>2</v>
      </c>
      <c r="K448" t="s">
        <v>127</v>
      </c>
      <c r="L448" t="s">
        <v>109</v>
      </c>
      <c r="M448" t="s">
        <v>114</v>
      </c>
      <c r="N448">
        <v>1</v>
      </c>
    </row>
    <row r="449" spans="2:14" x14ac:dyDescent="0.3">
      <c r="B449">
        <v>448</v>
      </c>
      <c r="C449" t="s">
        <v>334</v>
      </c>
      <c r="D449" t="s">
        <v>9</v>
      </c>
      <c r="E449" t="s">
        <v>14</v>
      </c>
      <c r="F449" t="s">
        <v>22</v>
      </c>
      <c r="G449" t="s">
        <v>32</v>
      </c>
      <c r="H449">
        <v>111</v>
      </c>
      <c r="I449">
        <v>3</v>
      </c>
      <c r="J449">
        <v>0</v>
      </c>
      <c r="K449" t="s">
        <v>127</v>
      </c>
      <c r="L449" t="s">
        <v>109</v>
      </c>
      <c r="M449" t="s">
        <v>114</v>
      </c>
      <c r="N449">
        <v>1</v>
      </c>
    </row>
    <row r="450" spans="2:14" x14ac:dyDescent="0.3">
      <c r="B450">
        <v>449</v>
      </c>
      <c r="C450" t="s">
        <v>335</v>
      </c>
      <c r="D450" t="s">
        <v>13</v>
      </c>
      <c r="E450" t="s">
        <v>16</v>
      </c>
      <c r="F450" t="s">
        <v>24</v>
      </c>
      <c r="G450" t="s">
        <v>33</v>
      </c>
      <c r="H450">
        <v>30</v>
      </c>
      <c r="I450">
        <v>1</v>
      </c>
      <c r="J450">
        <v>3</v>
      </c>
      <c r="K450" t="s">
        <v>127</v>
      </c>
      <c r="L450" t="s">
        <v>109</v>
      </c>
      <c r="M450" t="s">
        <v>114</v>
      </c>
      <c r="N450">
        <v>1</v>
      </c>
    </row>
    <row r="451" spans="2:14" x14ac:dyDescent="0.3">
      <c r="B451">
        <v>450</v>
      </c>
      <c r="C451" t="s">
        <v>336</v>
      </c>
      <c r="D451" t="s">
        <v>9</v>
      </c>
      <c r="E451" t="s">
        <v>14</v>
      </c>
      <c r="F451" t="s">
        <v>22</v>
      </c>
      <c r="G451" t="s">
        <v>32</v>
      </c>
      <c r="H451">
        <v>110</v>
      </c>
      <c r="I451">
        <v>1</v>
      </c>
      <c r="J451">
        <v>0</v>
      </c>
      <c r="K451" t="s">
        <v>127</v>
      </c>
      <c r="L451" t="s">
        <v>109</v>
      </c>
      <c r="M451" t="s">
        <v>114</v>
      </c>
      <c r="N451">
        <v>1</v>
      </c>
    </row>
    <row r="452" spans="2:14" x14ac:dyDescent="0.3">
      <c r="B452">
        <v>451</v>
      </c>
      <c r="C452" t="s">
        <v>337</v>
      </c>
      <c r="D452" t="s">
        <v>9</v>
      </c>
      <c r="E452" t="s">
        <v>16</v>
      </c>
      <c r="F452" t="s">
        <v>24</v>
      </c>
      <c r="G452" t="s">
        <v>33</v>
      </c>
      <c r="H452">
        <v>122</v>
      </c>
      <c r="I452">
        <v>1</v>
      </c>
      <c r="J452">
        <v>0</v>
      </c>
      <c r="K452" t="s">
        <v>127</v>
      </c>
      <c r="L452" t="s">
        <v>109</v>
      </c>
      <c r="M452" t="s">
        <v>114</v>
      </c>
      <c r="N452">
        <v>1</v>
      </c>
    </row>
    <row r="453" spans="2:14" x14ac:dyDescent="0.3">
      <c r="B453">
        <v>452</v>
      </c>
      <c r="C453" t="s">
        <v>338</v>
      </c>
      <c r="D453" t="s">
        <v>11</v>
      </c>
      <c r="E453" t="s">
        <v>14</v>
      </c>
      <c r="F453" t="s">
        <v>22</v>
      </c>
      <c r="G453" t="s">
        <v>32</v>
      </c>
      <c r="H453">
        <v>50</v>
      </c>
      <c r="I453">
        <v>1</v>
      </c>
      <c r="J453">
        <v>2</v>
      </c>
      <c r="K453" t="s">
        <v>127</v>
      </c>
      <c r="L453" t="s">
        <v>109</v>
      </c>
      <c r="M453" t="s">
        <v>114</v>
      </c>
      <c r="N453">
        <v>1</v>
      </c>
    </row>
    <row r="454" spans="2:14" x14ac:dyDescent="0.3">
      <c r="B454">
        <v>453</v>
      </c>
      <c r="C454" t="s">
        <v>339</v>
      </c>
      <c r="D454" t="s">
        <v>13</v>
      </c>
      <c r="E454" t="s">
        <v>19</v>
      </c>
      <c r="F454" t="s">
        <v>28</v>
      </c>
      <c r="G454" t="s">
        <v>34</v>
      </c>
      <c r="H454">
        <v>40</v>
      </c>
      <c r="I454">
        <v>3</v>
      </c>
      <c r="J454">
        <v>2</v>
      </c>
      <c r="K454" t="s">
        <v>127</v>
      </c>
      <c r="L454" t="s">
        <v>109</v>
      </c>
      <c r="M454" t="s">
        <v>114</v>
      </c>
      <c r="N454">
        <v>1</v>
      </c>
    </row>
    <row r="455" spans="2:14" x14ac:dyDescent="0.3">
      <c r="B455">
        <v>454</v>
      </c>
      <c r="C455" t="s">
        <v>340</v>
      </c>
      <c r="D455" t="s">
        <v>11</v>
      </c>
      <c r="E455" t="s">
        <v>16</v>
      </c>
      <c r="F455" t="s">
        <v>24</v>
      </c>
      <c r="G455" t="s">
        <v>33</v>
      </c>
      <c r="H455">
        <v>34</v>
      </c>
      <c r="I455">
        <v>3</v>
      </c>
      <c r="J455">
        <v>1</v>
      </c>
      <c r="K455" t="s">
        <v>127</v>
      </c>
      <c r="L455" t="s">
        <v>109</v>
      </c>
      <c r="M455" t="s">
        <v>114</v>
      </c>
      <c r="N455">
        <v>1</v>
      </c>
    </row>
    <row r="456" spans="2:14" x14ac:dyDescent="0.3">
      <c r="B456">
        <v>455</v>
      </c>
      <c r="C456" t="s">
        <v>341</v>
      </c>
      <c r="D456" t="s">
        <v>9</v>
      </c>
      <c r="E456" t="s">
        <v>14</v>
      </c>
      <c r="F456" t="s">
        <v>22</v>
      </c>
      <c r="G456" t="s">
        <v>32</v>
      </c>
      <c r="H456">
        <v>123</v>
      </c>
      <c r="I456">
        <v>2</v>
      </c>
      <c r="J456">
        <v>1</v>
      </c>
      <c r="K456" t="s">
        <v>127</v>
      </c>
      <c r="L456" t="s">
        <v>109</v>
      </c>
      <c r="M456" t="s">
        <v>114</v>
      </c>
      <c r="N456">
        <v>1</v>
      </c>
    </row>
    <row r="457" spans="2:14" x14ac:dyDescent="0.3">
      <c r="B457">
        <v>456</v>
      </c>
      <c r="C457" t="s">
        <v>342</v>
      </c>
      <c r="D457" t="s">
        <v>13</v>
      </c>
      <c r="E457" t="s">
        <v>14</v>
      </c>
      <c r="F457" t="s">
        <v>22</v>
      </c>
      <c r="G457" t="s">
        <v>32</v>
      </c>
      <c r="H457">
        <v>39</v>
      </c>
      <c r="I457">
        <v>4</v>
      </c>
      <c r="J457">
        <v>0</v>
      </c>
      <c r="K457" t="s">
        <v>127</v>
      </c>
      <c r="L457" t="s">
        <v>109</v>
      </c>
      <c r="M457" t="s">
        <v>115</v>
      </c>
      <c r="N457">
        <v>2</v>
      </c>
    </row>
    <row r="458" spans="2:14" x14ac:dyDescent="0.3">
      <c r="B458">
        <v>457</v>
      </c>
      <c r="C458" t="s">
        <v>343</v>
      </c>
      <c r="D458" t="s">
        <v>11</v>
      </c>
      <c r="E458" t="s">
        <v>14</v>
      </c>
      <c r="F458" t="s">
        <v>22</v>
      </c>
      <c r="G458" t="s">
        <v>32</v>
      </c>
      <c r="H458">
        <v>50</v>
      </c>
      <c r="I458">
        <v>1</v>
      </c>
      <c r="J458">
        <v>2</v>
      </c>
      <c r="K458" t="s">
        <v>127</v>
      </c>
      <c r="L458" t="s">
        <v>109</v>
      </c>
      <c r="M458" t="s">
        <v>115</v>
      </c>
      <c r="N458">
        <v>2</v>
      </c>
    </row>
    <row r="459" spans="2:14" x14ac:dyDescent="0.3">
      <c r="B459">
        <v>458</v>
      </c>
      <c r="C459" t="s">
        <v>344</v>
      </c>
      <c r="D459" t="s">
        <v>10</v>
      </c>
      <c r="E459" t="s">
        <v>14</v>
      </c>
      <c r="F459" t="s">
        <v>22</v>
      </c>
      <c r="G459" t="s">
        <v>32</v>
      </c>
      <c r="H459">
        <v>90</v>
      </c>
      <c r="I459">
        <v>1</v>
      </c>
      <c r="J459">
        <v>1</v>
      </c>
      <c r="K459" t="s">
        <v>127</v>
      </c>
      <c r="L459" t="s">
        <v>109</v>
      </c>
      <c r="M459" t="s">
        <v>115</v>
      </c>
      <c r="N459">
        <v>2</v>
      </c>
    </row>
    <row r="460" spans="2:14" x14ac:dyDescent="0.3">
      <c r="B460">
        <v>459</v>
      </c>
      <c r="C460" t="s">
        <v>345</v>
      </c>
      <c r="D460" t="s">
        <v>13</v>
      </c>
      <c r="E460" t="s">
        <v>16</v>
      </c>
      <c r="F460" t="s">
        <v>24</v>
      </c>
      <c r="G460" t="s">
        <v>33</v>
      </c>
      <c r="H460">
        <v>50</v>
      </c>
      <c r="I460">
        <v>1</v>
      </c>
      <c r="J460">
        <v>1</v>
      </c>
      <c r="K460" t="s">
        <v>127</v>
      </c>
      <c r="L460" t="s">
        <v>109</v>
      </c>
      <c r="M460" t="s">
        <v>115</v>
      </c>
      <c r="N460">
        <v>2</v>
      </c>
    </row>
    <row r="461" spans="2:14" x14ac:dyDescent="0.3">
      <c r="B461">
        <v>460</v>
      </c>
      <c r="C461" t="s">
        <v>346</v>
      </c>
      <c r="D461" t="s">
        <v>11</v>
      </c>
      <c r="E461" t="s">
        <v>16</v>
      </c>
      <c r="F461" t="s">
        <v>24</v>
      </c>
      <c r="G461" t="s">
        <v>33</v>
      </c>
      <c r="H461">
        <v>50</v>
      </c>
      <c r="I461">
        <v>1</v>
      </c>
      <c r="J461">
        <v>1</v>
      </c>
      <c r="K461" t="s">
        <v>127</v>
      </c>
      <c r="L461" t="s">
        <v>109</v>
      </c>
      <c r="M461" t="s">
        <v>115</v>
      </c>
      <c r="N461">
        <v>2</v>
      </c>
    </row>
    <row r="462" spans="2:14" x14ac:dyDescent="0.3">
      <c r="B462">
        <v>461</v>
      </c>
      <c r="C462" t="s">
        <v>347</v>
      </c>
      <c r="D462" t="s">
        <v>12</v>
      </c>
      <c r="E462" t="s">
        <v>16</v>
      </c>
      <c r="F462" t="s">
        <v>24</v>
      </c>
      <c r="G462" t="s">
        <v>33</v>
      </c>
      <c r="H462">
        <v>32</v>
      </c>
      <c r="I462">
        <v>1</v>
      </c>
      <c r="J462">
        <v>1</v>
      </c>
      <c r="K462" t="s">
        <v>127</v>
      </c>
      <c r="L462" t="s">
        <v>109</v>
      </c>
      <c r="M462" t="s">
        <v>115</v>
      </c>
      <c r="N462">
        <v>2</v>
      </c>
    </row>
    <row r="463" spans="2:14" x14ac:dyDescent="0.3">
      <c r="B463">
        <v>462</v>
      </c>
      <c r="C463" t="s">
        <v>348</v>
      </c>
      <c r="D463" t="s">
        <v>12</v>
      </c>
      <c r="E463" t="s">
        <v>14</v>
      </c>
      <c r="F463" t="s">
        <v>22</v>
      </c>
      <c r="G463" t="s">
        <v>32</v>
      </c>
      <c r="H463">
        <v>22</v>
      </c>
      <c r="I463">
        <v>1</v>
      </c>
      <c r="J463">
        <v>0</v>
      </c>
      <c r="K463" t="s">
        <v>127</v>
      </c>
      <c r="L463" t="s">
        <v>109</v>
      </c>
      <c r="M463" t="s">
        <v>115</v>
      </c>
      <c r="N463">
        <v>2</v>
      </c>
    </row>
    <row r="464" spans="2:14" x14ac:dyDescent="0.3">
      <c r="B464">
        <v>463</v>
      </c>
      <c r="C464" t="s">
        <v>349</v>
      </c>
      <c r="D464" t="s">
        <v>9</v>
      </c>
      <c r="E464" t="s">
        <v>16</v>
      </c>
      <c r="F464" t="s">
        <v>24</v>
      </c>
      <c r="G464" t="s">
        <v>33</v>
      </c>
      <c r="H464">
        <v>113</v>
      </c>
      <c r="I464">
        <v>1</v>
      </c>
      <c r="J464">
        <v>2</v>
      </c>
      <c r="K464" t="s">
        <v>127</v>
      </c>
      <c r="L464" t="s">
        <v>109</v>
      </c>
      <c r="M464" t="s">
        <v>115</v>
      </c>
      <c r="N464">
        <v>2</v>
      </c>
    </row>
    <row r="465" spans="2:14" x14ac:dyDescent="0.3">
      <c r="B465">
        <v>464</v>
      </c>
      <c r="C465" t="s">
        <v>350</v>
      </c>
      <c r="D465" t="s">
        <v>9</v>
      </c>
      <c r="E465" t="s">
        <v>14</v>
      </c>
      <c r="F465" t="s">
        <v>22</v>
      </c>
      <c r="G465" t="s">
        <v>32</v>
      </c>
      <c r="H465">
        <v>114</v>
      </c>
      <c r="I465">
        <v>1</v>
      </c>
      <c r="J465">
        <v>0</v>
      </c>
      <c r="K465" t="s">
        <v>127</v>
      </c>
      <c r="L465" t="s">
        <v>109</v>
      </c>
      <c r="M465" t="s">
        <v>115</v>
      </c>
      <c r="N465">
        <v>2</v>
      </c>
    </row>
    <row r="466" spans="2:14" x14ac:dyDescent="0.3">
      <c r="B466">
        <v>465</v>
      </c>
      <c r="C466" t="s">
        <v>351</v>
      </c>
      <c r="D466" t="s">
        <v>10</v>
      </c>
      <c r="E466" t="s">
        <v>16</v>
      </c>
      <c r="F466" t="s">
        <v>24</v>
      </c>
      <c r="G466" t="s">
        <v>33</v>
      </c>
      <c r="H466">
        <v>95</v>
      </c>
      <c r="I466">
        <v>4</v>
      </c>
      <c r="J466">
        <v>2</v>
      </c>
      <c r="K466" t="s">
        <v>127</v>
      </c>
      <c r="L466" t="s">
        <v>109</v>
      </c>
      <c r="M466" t="s">
        <v>115</v>
      </c>
      <c r="N466">
        <v>2</v>
      </c>
    </row>
    <row r="467" spans="2:14" x14ac:dyDescent="0.3">
      <c r="B467">
        <v>466</v>
      </c>
      <c r="C467" t="s">
        <v>352</v>
      </c>
      <c r="D467" t="s">
        <v>13</v>
      </c>
      <c r="E467" t="s">
        <v>14</v>
      </c>
      <c r="F467" t="s">
        <v>22</v>
      </c>
      <c r="G467" t="s">
        <v>32</v>
      </c>
      <c r="H467">
        <v>35</v>
      </c>
      <c r="I467">
        <v>1</v>
      </c>
      <c r="J467">
        <v>1</v>
      </c>
      <c r="K467" t="s">
        <v>127</v>
      </c>
      <c r="L467" t="s">
        <v>109</v>
      </c>
      <c r="M467" t="s">
        <v>115</v>
      </c>
      <c r="N467">
        <v>2</v>
      </c>
    </row>
    <row r="468" spans="2:14" x14ac:dyDescent="0.3">
      <c r="B468">
        <v>467</v>
      </c>
      <c r="C468" t="s">
        <v>353</v>
      </c>
      <c r="D468" t="s">
        <v>12</v>
      </c>
      <c r="E468" t="s">
        <v>16</v>
      </c>
      <c r="F468" t="s">
        <v>24</v>
      </c>
      <c r="G468" t="s">
        <v>33</v>
      </c>
      <c r="H468">
        <v>23</v>
      </c>
      <c r="I468">
        <v>2</v>
      </c>
      <c r="J468">
        <v>0</v>
      </c>
      <c r="K468" t="s">
        <v>127</v>
      </c>
      <c r="L468" t="s">
        <v>109</v>
      </c>
      <c r="M468" t="s">
        <v>115</v>
      </c>
      <c r="N468">
        <v>2</v>
      </c>
    </row>
    <row r="469" spans="2:14" x14ac:dyDescent="0.3">
      <c r="B469">
        <v>468</v>
      </c>
      <c r="C469" t="s">
        <v>354</v>
      </c>
      <c r="D469" t="s">
        <v>13</v>
      </c>
      <c r="E469" t="s">
        <v>14</v>
      </c>
      <c r="F469" t="s">
        <v>22</v>
      </c>
      <c r="G469" t="s">
        <v>32</v>
      </c>
      <c r="H469">
        <v>32</v>
      </c>
      <c r="I469">
        <v>1</v>
      </c>
      <c r="J469">
        <v>1</v>
      </c>
      <c r="K469" t="s">
        <v>127</v>
      </c>
      <c r="L469" t="s">
        <v>109</v>
      </c>
      <c r="M469" t="s">
        <v>115</v>
      </c>
      <c r="N469">
        <v>2</v>
      </c>
    </row>
    <row r="470" spans="2:14" x14ac:dyDescent="0.3">
      <c r="B470">
        <v>469</v>
      </c>
      <c r="C470" t="s">
        <v>355</v>
      </c>
      <c r="D470" t="s">
        <v>9</v>
      </c>
      <c r="E470" t="s">
        <v>14</v>
      </c>
      <c r="F470" t="s">
        <v>22</v>
      </c>
      <c r="G470" t="s">
        <v>32</v>
      </c>
      <c r="H470">
        <v>114</v>
      </c>
      <c r="I470">
        <v>1</v>
      </c>
      <c r="J470">
        <v>1</v>
      </c>
      <c r="K470" t="s">
        <v>127</v>
      </c>
      <c r="L470" t="s">
        <v>109</v>
      </c>
      <c r="M470" t="s">
        <v>115</v>
      </c>
      <c r="N470">
        <v>2</v>
      </c>
    </row>
    <row r="471" spans="2:14" x14ac:dyDescent="0.3">
      <c r="B471">
        <v>470</v>
      </c>
      <c r="C471" t="s">
        <v>356</v>
      </c>
      <c r="D471" t="s">
        <v>9</v>
      </c>
      <c r="E471" t="s">
        <v>14</v>
      </c>
      <c r="F471" t="s">
        <v>22</v>
      </c>
      <c r="G471" t="s">
        <v>32</v>
      </c>
      <c r="H471">
        <v>113</v>
      </c>
      <c r="I471">
        <v>1</v>
      </c>
      <c r="J471">
        <v>0</v>
      </c>
      <c r="K471" t="s">
        <v>127</v>
      </c>
      <c r="L471" t="s">
        <v>109</v>
      </c>
      <c r="M471" t="s">
        <v>115</v>
      </c>
      <c r="N471">
        <v>2</v>
      </c>
    </row>
    <row r="472" spans="2:14" x14ac:dyDescent="0.3">
      <c r="B472">
        <v>471</v>
      </c>
      <c r="C472" t="s">
        <v>357</v>
      </c>
      <c r="D472" t="s">
        <v>10</v>
      </c>
      <c r="E472" t="s">
        <v>16</v>
      </c>
      <c r="F472" t="s">
        <v>24</v>
      </c>
      <c r="G472" t="s">
        <v>33</v>
      </c>
      <c r="H472">
        <v>98</v>
      </c>
      <c r="I472">
        <v>4</v>
      </c>
      <c r="J472">
        <v>3</v>
      </c>
      <c r="K472" t="s">
        <v>127</v>
      </c>
      <c r="L472" t="s">
        <v>109</v>
      </c>
      <c r="M472" t="s">
        <v>115</v>
      </c>
      <c r="N472">
        <v>2</v>
      </c>
    </row>
    <row r="473" spans="2:14" x14ac:dyDescent="0.3">
      <c r="B473">
        <v>472</v>
      </c>
      <c r="C473" t="s">
        <v>358</v>
      </c>
      <c r="D473" t="s">
        <v>10</v>
      </c>
      <c r="E473" t="s">
        <v>16</v>
      </c>
      <c r="F473" t="s">
        <v>24</v>
      </c>
      <c r="G473" t="s">
        <v>33</v>
      </c>
      <c r="H473">
        <v>102</v>
      </c>
      <c r="I473">
        <v>3</v>
      </c>
      <c r="J473">
        <v>1</v>
      </c>
      <c r="K473" t="s">
        <v>127</v>
      </c>
      <c r="L473" t="s">
        <v>109</v>
      </c>
      <c r="M473" t="s">
        <v>115</v>
      </c>
      <c r="N473">
        <v>2</v>
      </c>
    </row>
    <row r="474" spans="2:14" x14ac:dyDescent="0.3">
      <c r="B474">
        <v>473</v>
      </c>
      <c r="C474" t="s">
        <v>359</v>
      </c>
      <c r="D474" t="s">
        <v>9</v>
      </c>
      <c r="E474" t="s">
        <v>14</v>
      </c>
      <c r="F474" t="s">
        <v>22</v>
      </c>
      <c r="G474" t="s">
        <v>32</v>
      </c>
      <c r="H474">
        <v>125</v>
      </c>
      <c r="I474">
        <v>3</v>
      </c>
      <c r="J474">
        <v>3</v>
      </c>
      <c r="K474" t="s">
        <v>127</v>
      </c>
      <c r="L474" t="s">
        <v>109</v>
      </c>
      <c r="M474" t="s">
        <v>115</v>
      </c>
      <c r="N474">
        <v>2</v>
      </c>
    </row>
    <row r="475" spans="2:14" x14ac:dyDescent="0.3">
      <c r="B475">
        <v>474</v>
      </c>
      <c r="C475" t="s">
        <v>360</v>
      </c>
      <c r="D475" t="s">
        <v>10</v>
      </c>
      <c r="E475" t="s">
        <v>14</v>
      </c>
      <c r="F475" t="s">
        <v>22</v>
      </c>
      <c r="G475" t="s">
        <v>32</v>
      </c>
      <c r="H475">
        <v>102</v>
      </c>
      <c r="I475">
        <v>1</v>
      </c>
      <c r="J475">
        <v>0</v>
      </c>
      <c r="K475" t="s">
        <v>127</v>
      </c>
      <c r="L475" t="s">
        <v>109</v>
      </c>
      <c r="M475" t="s">
        <v>115</v>
      </c>
      <c r="N475">
        <v>2</v>
      </c>
    </row>
    <row r="476" spans="2:14" x14ac:dyDescent="0.3">
      <c r="B476">
        <v>475</v>
      </c>
      <c r="C476" t="s">
        <v>361</v>
      </c>
      <c r="D476" t="s">
        <v>12</v>
      </c>
      <c r="E476" t="s">
        <v>16</v>
      </c>
      <c r="F476" t="s">
        <v>24</v>
      </c>
      <c r="G476" t="s">
        <v>33</v>
      </c>
      <c r="H476">
        <v>22</v>
      </c>
      <c r="I476">
        <v>2</v>
      </c>
      <c r="J476">
        <v>1</v>
      </c>
      <c r="K476" t="s">
        <v>127</v>
      </c>
      <c r="L476" t="s">
        <v>109</v>
      </c>
      <c r="M476" t="s">
        <v>115</v>
      </c>
      <c r="N476">
        <v>2</v>
      </c>
    </row>
    <row r="477" spans="2:14" x14ac:dyDescent="0.3">
      <c r="B477">
        <v>476</v>
      </c>
      <c r="C477" t="s">
        <v>362</v>
      </c>
      <c r="D477" t="s">
        <v>9</v>
      </c>
      <c r="E477" t="s">
        <v>14</v>
      </c>
      <c r="F477" t="s">
        <v>22</v>
      </c>
      <c r="G477" t="s">
        <v>32</v>
      </c>
      <c r="H477">
        <v>127</v>
      </c>
      <c r="I477">
        <v>1</v>
      </c>
      <c r="J477">
        <v>1</v>
      </c>
      <c r="K477" t="s">
        <v>127</v>
      </c>
      <c r="L477" t="s">
        <v>109</v>
      </c>
      <c r="M477" t="s">
        <v>115</v>
      </c>
      <c r="N477">
        <v>2</v>
      </c>
    </row>
    <row r="478" spans="2:14" x14ac:dyDescent="0.3">
      <c r="B478">
        <v>477</v>
      </c>
      <c r="C478" t="s">
        <v>363</v>
      </c>
      <c r="D478" t="s">
        <v>10</v>
      </c>
      <c r="E478" t="s">
        <v>14</v>
      </c>
      <c r="F478" t="s">
        <v>22</v>
      </c>
      <c r="G478" t="s">
        <v>32</v>
      </c>
      <c r="H478">
        <v>88</v>
      </c>
      <c r="I478">
        <v>1</v>
      </c>
      <c r="J478">
        <v>3</v>
      </c>
      <c r="K478" t="s">
        <v>127</v>
      </c>
      <c r="L478" t="s">
        <v>109</v>
      </c>
      <c r="M478" t="s">
        <v>115</v>
      </c>
      <c r="N478">
        <v>2</v>
      </c>
    </row>
    <row r="479" spans="2:14" x14ac:dyDescent="0.3">
      <c r="B479">
        <v>478</v>
      </c>
      <c r="C479" t="s">
        <v>364</v>
      </c>
      <c r="D479" t="s">
        <v>9</v>
      </c>
      <c r="E479" t="s">
        <v>16</v>
      </c>
      <c r="F479" t="s">
        <v>24</v>
      </c>
      <c r="G479" t="s">
        <v>33</v>
      </c>
      <c r="H479">
        <v>127</v>
      </c>
      <c r="I479">
        <v>1</v>
      </c>
      <c r="J479">
        <v>0</v>
      </c>
      <c r="K479" t="s">
        <v>127</v>
      </c>
      <c r="L479" t="s">
        <v>109</v>
      </c>
      <c r="M479" t="s">
        <v>115</v>
      </c>
      <c r="N479">
        <v>2</v>
      </c>
    </row>
    <row r="480" spans="2:14" x14ac:dyDescent="0.3">
      <c r="B480">
        <v>479</v>
      </c>
      <c r="C480" t="s">
        <v>365</v>
      </c>
      <c r="D480" t="s">
        <v>10</v>
      </c>
      <c r="E480" t="s">
        <v>16</v>
      </c>
      <c r="F480" t="s">
        <v>24</v>
      </c>
      <c r="G480" t="s">
        <v>33</v>
      </c>
      <c r="H480">
        <v>82</v>
      </c>
      <c r="I480">
        <v>3</v>
      </c>
      <c r="J480">
        <v>3</v>
      </c>
      <c r="K480" t="s">
        <v>127</v>
      </c>
      <c r="L480" t="s">
        <v>109</v>
      </c>
      <c r="M480" t="s">
        <v>115</v>
      </c>
      <c r="N480">
        <v>2</v>
      </c>
    </row>
    <row r="481" spans="2:14" x14ac:dyDescent="0.3">
      <c r="B481">
        <v>480</v>
      </c>
      <c r="C481" t="s">
        <v>366</v>
      </c>
      <c r="D481" t="s">
        <v>10</v>
      </c>
      <c r="E481" t="s">
        <v>14</v>
      </c>
      <c r="F481" t="s">
        <v>22</v>
      </c>
      <c r="G481" t="s">
        <v>32</v>
      </c>
      <c r="H481">
        <v>87</v>
      </c>
      <c r="I481">
        <v>2</v>
      </c>
      <c r="J481">
        <v>4</v>
      </c>
      <c r="K481" t="s">
        <v>127</v>
      </c>
      <c r="L481" t="s">
        <v>109</v>
      </c>
      <c r="M481" t="s">
        <v>115</v>
      </c>
      <c r="N481">
        <v>2</v>
      </c>
    </row>
    <row r="482" spans="2:14" x14ac:dyDescent="0.3">
      <c r="B482">
        <v>481</v>
      </c>
      <c r="C482" t="s">
        <v>367</v>
      </c>
      <c r="D482" t="s">
        <v>9</v>
      </c>
      <c r="E482" t="s">
        <v>14</v>
      </c>
      <c r="F482" t="s">
        <v>22</v>
      </c>
      <c r="G482" t="s">
        <v>32</v>
      </c>
      <c r="H482">
        <v>102</v>
      </c>
      <c r="I482">
        <v>1</v>
      </c>
      <c r="J482">
        <v>1</v>
      </c>
      <c r="K482" t="s">
        <v>127</v>
      </c>
      <c r="L482" t="s">
        <v>109</v>
      </c>
      <c r="M482" t="s">
        <v>115</v>
      </c>
      <c r="N482">
        <v>2</v>
      </c>
    </row>
    <row r="483" spans="2:14" x14ac:dyDescent="0.3">
      <c r="B483">
        <v>482</v>
      </c>
      <c r="C483" t="s">
        <v>368</v>
      </c>
      <c r="D483" t="s">
        <v>11</v>
      </c>
      <c r="E483" t="s">
        <v>14</v>
      </c>
      <c r="F483" t="s">
        <v>22</v>
      </c>
      <c r="G483" t="s">
        <v>32</v>
      </c>
      <c r="H483">
        <v>37</v>
      </c>
      <c r="I483">
        <v>3</v>
      </c>
      <c r="J483">
        <v>0</v>
      </c>
      <c r="K483" t="s">
        <v>127</v>
      </c>
      <c r="L483" t="s">
        <v>109</v>
      </c>
      <c r="M483" t="s">
        <v>115</v>
      </c>
      <c r="N483">
        <v>2</v>
      </c>
    </row>
    <row r="484" spans="2:14" x14ac:dyDescent="0.3">
      <c r="B484">
        <v>483</v>
      </c>
      <c r="C484" t="s">
        <v>369</v>
      </c>
      <c r="D484" t="s">
        <v>11</v>
      </c>
      <c r="E484" t="s">
        <v>14</v>
      </c>
      <c r="F484" t="s">
        <v>22</v>
      </c>
      <c r="G484" t="s">
        <v>32</v>
      </c>
      <c r="H484">
        <v>50</v>
      </c>
      <c r="I484">
        <v>1</v>
      </c>
      <c r="J484">
        <v>0</v>
      </c>
      <c r="K484" t="s">
        <v>127</v>
      </c>
      <c r="L484" t="s">
        <v>109</v>
      </c>
      <c r="M484" t="s">
        <v>115</v>
      </c>
      <c r="N484">
        <v>2</v>
      </c>
    </row>
    <row r="485" spans="2:14" x14ac:dyDescent="0.3">
      <c r="B485">
        <v>484</v>
      </c>
      <c r="C485" t="s">
        <v>370</v>
      </c>
      <c r="D485" t="s">
        <v>12</v>
      </c>
      <c r="E485" t="s">
        <v>16</v>
      </c>
      <c r="F485" t="s">
        <v>24</v>
      </c>
      <c r="G485" t="s">
        <v>33</v>
      </c>
      <c r="H485">
        <v>30</v>
      </c>
      <c r="I485">
        <v>2</v>
      </c>
      <c r="J485">
        <v>2</v>
      </c>
      <c r="K485" t="s">
        <v>127</v>
      </c>
      <c r="L485" t="s">
        <v>109</v>
      </c>
      <c r="M485" t="s">
        <v>116</v>
      </c>
      <c r="N485">
        <v>3</v>
      </c>
    </row>
    <row r="486" spans="2:14" x14ac:dyDescent="0.3">
      <c r="B486">
        <v>485</v>
      </c>
      <c r="C486" t="s">
        <v>371</v>
      </c>
      <c r="D486" t="s">
        <v>12</v>
      </c>
      <c r="E486" t="s">
        <v>16</v>
      </c>
      <c r="F486" t="s">
        <v>24</v>
      </c>
      <c r="G486" t="s">
        <v>33</v>
      </c>
      <c r="H486">
        <v>22</v>
      </c>
      <c r="I486">
        <v>1</v>
      </c>
      <c r="J486">
        <v>1</v>
      </c>
      <c r="K486" t="s">
        <v>127</v>
      </c>
      <c r="L486" t="s">
        <v>109</v>
      </c>
      <c r="M486" t="s">
        <v>116</v>
      </c>
      <c r="N486">
        <v>3</v>
      </c>
    </row>
    <row r="487" spans="2:14" x14ac:dyDescent="0.3">
      <c r="B487">
        <v>486</v>
      </c>
      <c r="C487" t="s">
        <v>372</v>
      </c>
      <c r="D487" t="s">
        <v>9</v>
      </c>
      <c r="E487" t="s">
        <v>14</v>
      </c>
      <c r="F487" t="s">
        <v>22</v>
      </c>
      <c r="G487" t="s">
        <v>32</v>
      </c>
      <c r="H487">
        <v>102</v>
      </c>
      <c r="I487">
        <v>1</v>
      </c>
      <c r="J487">
        <v>1</v>
      </c>
      <c r="K487" t="s">
        <v>127</v>
      </c>
      <c r="L487" t="s">
        <v>109</v>
      </c>
      <c r="M487" t="s">
        <v>116</v>
      </c>
      <c r="N487">
        <v>3</v>
      </c>
    </row>
    <row r="488" spans="2:14" x14ac:dyDescent="0.3">
      <c r="B488">
        <v>487</v>
      </c>
      <c r="C488" t="s">
        <v>373</v>
      </c>
      <c r="D488" t="s">
        <v>13</v>
      </c>
      <c r="E488" t="s">
        <v>14</v>
      </c>
      <c r="F488" t="s">
        <v>22</v>
      </c>
      <c r="G488" t="s">
        <v>32</v>
      </c>
      <c r="H488">
        <v>33</v>
      </c>
      <c r="I488">
        <v>1</v>
      </c>
      <c r="J488">
        <v>0</v>
      </c>
      <c r="K488" t="s">
        <v>127</v>
      </c>
      <c r="L488" t="s">
        <v>109</v>
      </c>
      <c r="M488" t="s">
        <v>116</v>
      </c>
      <c r="N488">
        <v>3</v>
      </c>
    </row>
    <row r="489" spans="2:14" x14ac:dyDescent="0.3">
      <c r="B489">
        <v>488</v>
      </c>
      <c r="C489" t="s">
        <v>374</v>
      </c>
      <c r="D489" t="s">
        <v>13</v>
      </c>
      <c r="E489" t="s">
        <v>16</v>
      </c>
      <c r="F489" t="s">
        <v>24</v>
      </c>
      <c r="G489" t="s">
        <v>33</v>
      </c>
      <c r="H489">
        <v>32</v>
      </c>
      <c r="I489">
        <v>1</v>
      </c>
      <c r="J489">
        <v>1</v>
      </c>
      <c r="K489" t="s">
        <v>127</v>
      </c>
      <c r="L489" t="s">
        <v>109</v>
      </c>
      <c r="M489" t="s">
        <v>116</v>
      </c>
      <c r="N489">
        <v>3</v>
      </c>
    </row>
    <row r="490" spans="2:14" x14ac:dyDescent="0.3">
      <c r="B490">
        <v>489</v>
      </c>
      <c r="C490" t="s">
        <v>375</v>
      </c>
      <c r="D490" t="s">
        <v>12</v>
      </c>
      <c r="E490" t="s">
        <v>14</v>
      </c>
      <c r="F490" t="s">
        <v>22</v>
      </c>
      <c r="G490" t="s">
        <v>32</v>
      </c>
      <c r="H490">
        <v>30</v>
      </c>
      <c r="I490">
        <v>2</v>
      </c>
      <c r="J490">
        <v>1</v>
      </c>
      <c r="K490" t="s">
        <v>127</v>
      </c>
      <c r="L490" t="s">
        <v>109</v>
      </c>
      <c r="M490" t="s">
        <v>116</v>
      </c>
      <c r="N490">
        <v>3</v>
      </c>
    </row>
    <row r="491" spans="2:14" x14ac:dyDescent="0.3">
      <c r="B491">
        <v>490</v>
      </c>
      <c r="C491" t="s">
        <v>376</v>
      </c>
      <c r="D491" t="s">
        <v>10</v>
      </c>
      <c r="E491" t="s">
        <v>14</v>
      </c>
      <c r="F491" t="s">
        <v>22</v>
      </c>
      <c r="G491" t="s">
        <v>32</v>
      </c>
      <c r="H491">
        <v>81</v>
      </c>
      <c r="I491">
        <v>1</v>
      </c>
      <c r="J491">
        <v>2</v>
      </c>
      <c r="K491" t="s">
        <v>127</v>
      </c>
      <c r="L491" t="s">
        <v>109</v>
      </c>
      <c r="M491" t="s">
        <v>116</v>
      </c>
      <c r="N491">
        <v>3</v>
      </c>
    </row>
    <row r="492" spans="2:14" x14ac:dyDescent="0.3">
      <c r="B492">
        <v>491</v>
      </c>
      <c r="C492" t="s">
        <v>377</v>
      </c>
      <c r="D492" t="s">
        <v>11</v>
      </c>
      <c r="E492" t="s">
        <v>14</v>
      </c>
      <c r="F492" t="s">
        <v>22</v>
      </c>
      <c r="G492" t="s">
        <v>32</v>
      </c>
      <c r="H492">
        <v>50</v>
      </c>
      <c r="I492">
        <v>1</v>
      </c>
      <c r="J492">
        <v>1</v>
      </c>
      <c r="K492" t="s">
        <v>127</v>
      </c>
      <c r="L492" t="s">
        <v>109</v>
      </c>
      <c r="M492" t="s">
        <v>116</v>
      </c>
      <c r="N492">
        <v>3</v>
      </c>
    </row>
    <row r="493" spans="2:14" x14ac:dyDescent="0.3">
      <c r="B493">
        <v>492</v>
      </c>
      <c r="C493" t="s">
        <v>378</v>
      </c>
      <c r="D493" t="s">
        <v>10</v>
      </c>
      <c r="E493" t="s">
        <v>19</v>
      </c>
      <c r="F493" t="s">
        <v>28</v>
      </c>
      <c r="G493" t="s">
        <v>34</v>
      </c>
      <c r="H493">
        <v>100</v>
      </c>
      <c r="I493">
        <v>2</v>
      </c>
      <c r="J493">
        <v>4</v>
      </c>
      <c r="K493" t="s">
        <v>127</v>
      </c>
      <c r="L493" t="s">
        <v>109</v>
      </c>
      <c r="M493" t="s">
        <v>116</v>
      </c>
      <c r="N493">
        <v>3</v>
      </c>
    </row>
    <row r="494" spans="2:14" x14ac:dyDescent="0.3">
      <c r="B494">
        <v>493</v>
      </c>
      <c r="C494" t="s">
        <v>379</v>
      </c>
      <c r="D494" t="s">
        <v>10</v>
      </c>
      <c r="E494" t="s">
        <v>14</v>
      </c>
      <c r="F494" t="s">
        <v>22</v>
      </c>
      <c r="G494" t="s">
        <v>32</v>
      </c>
      <c r="H494">
        <v>102</v>
      </c>
      <c r="I494">
        <v>1</v>
      </c>
      <c r="J494">
        <v>1</v>
      </c>
      <c r="K494" t="s">
        <v>127</v>
      </c>
      <c r="L494" t="s">
        <v>109</v>
      </c>
      <c r="M494" t="s">
        <v>116</v>
      </c>
      <c r="N494">
        <v>3</v>
      </c>
    </row>
    <row r="495" spans="2:14" x14ac:dyDescent="0.3">
      <c r="B495">
        <v>494</v>
      </c>
      <c r="C495" t="s">
        <v>380</v>
      </c>
      <c r="D495" t="s">
        <v>13</v>
      </c>
      <c r="E495" t="s">
        <v>14</v>
      </c>
      <c r="F495" t="s">
        <v>22</v>
      </c>
      <c r="G495" t="s">
        <v>32</v>
      </c>
      <c r="H495">
        <v>31</v>
      </c>
      <c r="I495">
        <v>1</v>
      </c>
      <c r="J495">
        <v>0</v>
      </c>
      <c r="K495" t="s">
        <v>127</v>
      </c>
      <c r="L495" t="s">
        <v>109</v>
      </c>
      <c r="M495" t="s">
        <v>116</v>
      </c>
      <c r="N495">
        <v>3</v>
      </c>
    </row>
    <row r="496" spans="2:14" x14ac:dyDescent="0.3">
      <c r="B496">
        <v>495</v>
      </c>
      <c r="C496" t="s">
        <v>381</v>
      </c>
      <c r="D496" t="s">
        <v>11</v>
      </c>
      <c r="E496" t="s">
        <v>14</v>
      </c>
      <c r="F496" t="s">
        <v>22</v>
      </c>
      <c r="G496" t="s">
        <v>32</v>
      </c>
      <c r="H496">
        <v>33</v>
      </c>
      <c r="I496">
        <v>2</v>
      </c>
      <c r="J496">
        <v>1</v>
      </c>
      <c r="K496" t="s">
        <v>127</v>
      </c>
      <c r="L496" t="s">
        <v>109</v>
      </c>
      <c r="M496" t="s">
        <v>116</v>
      </c>
      <c r="N496">
        <v>3</v>
      </c>
    </row>
    <row r="497" spans="2:14" x14ac:dyDescent="0.3">
      <c r="B497">
        <v>496</v>
      </c>
      <c r="C497" t="s">
        <v>382</v>
      </c>
      <c r="D497" t="s">
        <v>11</v>
      </c>
      <c r="E497" t="s">
        <v>14</v>
      </c>
      <c r="F497" t="s">
        <v>22</v>
      </c>
      <c r="G497" t="s">
        <v>32</v>
      </c>
      <c r="H497">
        <v>50</v>
      </c>
      <c r="I497">
        <v>1</v>
      </c>
      <c r="J497">
        <v>0</v>
      </c>
      <c r="K497" t="s">
        <v>127</v>
      </c>
      <c r="L497" t="s">
        <v>109</v>
      </c>
      <c r="M497" t="s">
        <v>116</v>
      </c>
      <c r="N497">
        <v>3</v>
      </c>
    </row>
    <row r="498" spans="2:14" x14ac:dyDescent="0.3">
      <c r="B498">
        <v>497</v>
      </c>
      <c r="C498" t="s">
        <v>383</v>
      </c>
      <c r="D498" t="s">
        <v>12</v>
      </c>
      <c r="E498" t="s">
        <v>19</v>
      </c>
      <c r="F498" t="s">
        <v>28</v>
      </c>
      <c r="G498" t="s">
        <v>34</v>
      </c>
      <c r="H498">
        <v>32</v>
      </c>
      <c r="I498">
        <v>1</v>
      </c>
      <c r="J498">
        <v>0</v>
      </c>
      <c r="K498" t="s">
        <v>127</v>
      </c>
      <c r="L498" t="s">
        <v>109</v>
      </c>
      <c r="M498" t="s">
        <v>116</v>
      </c>
      <c r="N498">
        <v>3</v>
      </c>
    </row>
    <row r="499" spans="2:14" x14ac:dyDescent="0.3">
      <c r="B499">
        <v>498</v>
      </c>
      <c r="C499" t="s">
        <v>384</v>
      </c>
      <c r="D499" t="s">
        <v>12</v>
      </c>
      <c r="E499" t="s">
        <v>19</v>
      </c>
      <c r="F499" t="s">
        <v>28</v>
      </c>
      <c r="G499" t="s">
        <v>34</v>
      </c>
      <c r="H499">
        <v>30</v>
      </c>
      <c r="I499">
        <v>1</v>
      </c>
      <c r="J499">
        <v>1</v>
      </c>
      <c r="K499" t="s">
        <v>127</v>
      </c>
      <c r="L499" t="s">
        <v>109</v>
      </c>
      <c r="M499" t="s">
        <v>116</v>
      </c>
      <c r="N499">
        <v>3</v>
      </c>
    </row>
    <row r="500" spans="2:14" x14ac:dyDescent="0.3">
      <c r="B500">
        <v>499</v>
      </c>
      <c r="C500" t="s">
        <v>385</v>
      </c>
      <c r="D500" t="s">
        <v>12</v>
      </c>
      <c r="E500" t="s">
        <v>14</v>
      </c>
      <c r="F500" t="s">
        <v>22</v>
      </c>
      <c r="G500" t="s">
        <v>32</v>
      </c>
      <c r="H500">
        <v>25</v>
      </c>
      <c r="I500">
        <v>4</v>
      </c>
      <c r="J500">
        <v>1</v>
      </c>
      <c r="K500" t="s">
        <v>127</v>
      </c>
      <c r="L500" t="s">
        <v>109</v>
      </c>
      <c r="M500" t="s">
        <v>116</v>
      </c>
      <c r="N500">
        <v>3</v>
      </c>
    </row>
    <row r="501" spans="2:14" x14ac:dyDescent="0.3">
      <c r="B501">
        <v>500</v>
      </c>
      <c r="C501" t="s">
        <v>386</v>
      </c>
      <c r="D501" t="s">
        <v>9</v>
      </c>
      <c r="E501" t="s">
        <v>16</v>
      </c>
      <c r="F501" t="s">
        <v>24</v>
      </c>
      <c r="G501" t="s">
        <v>33</v>
      </c>
      <c r="H501">
        <v>109</v>
      </c>
      <c r="I501">
        <v>3</v>
      </c>
      <c r="J501">
        <v>1</v>
      </c>
      <c r="K501" t="s">
        <v>127</v>
      </c>
      <c r="L501" t="s">
        <v>109</v>
      </c>
      <c r="M501" t="s">
        <v>116</v>
      </c>
      <c r="N501">
        <v>3</v>
      </c>
    </row>
    <row r="502" spans="2:14" x14ac:dyDescent="0.3">
      <c r="B502">
        <v>501</v>
      </c>
      <c r="C502" t="s">
        <v>387</v>
      </c>
      <c r="D502" t="s">
        <v>13</v>
      </c>
      <c r="E502" t="s">
        <v>14</v>
      </c>
      <c r="F502" t="s">
        <v>22</v>
      </c>
      <c r="G502" t="s">
        <v>32</v>
      </c>
      <c r="H502">
        <v>30</v>
      </c>
      <c r="I502">
        <v>1</v>
      </c>
      <c r="J502">
        <v>2</v>
      </c>
      <c r="K502" t="s">
        <v>127</v>
      </c>
      <c r="L502" t="s">
        <v>109</v>
      </c>
      <c r="M502" t="s">
        <v>116</v>
      </c>
      <c r="N502">
        <v>3</v>
      </c>
    </row>
    <row r="503" spans="2:14" x14ac:dyDescent="0.3">
      <c r="B503">
        <v>502</v>
      </c>
      <c r="C503" t="s">
        <v>388</v>
      </c>
      <c r="D503" t="s">
        <v>12</v>
      </c>
      <c r="E503" t="s">
        <v>16</v>
      </c>
      <c r="F503" t="s">
        <v>24</v>
      </c>
      <c r="G503" t="s">
        <v>33</v>
      </c>
      <c r="H503">
        <v>30</v>
      </c>
      <c r="I503">
        <v>1</v>
      </c>
      <c r="J503">
        <v>1</v>
      </c>
      <c r="K503" t="s">
        <v>127</v>
      </c>
      <c r="L503" t="s">
        <v>109</v>
      </c>
      <c r="M503" t="s">
        <v>116</v>
      </c>
      <c r="N503">
        <v>3</v>
      </c>
    </row>
    <row r="504" spans="2:14" x14ac:dyDescent="0.3">
      <c r="B504">
        <v>503</v>
      </c>
      <c r="C504" t="s">
        <v>389</v>
      </c>
      <c r="D504" t="s">
        <v>13</v>
      </c>
      <c r="E504" t="s">
        <v>14</v>
      </c>
      <c r="F504" t="s">
        <v>22</v>
      </c>
      <c r="G504" t="s">
        <v>32</v>
      </c>
      <c r="H504">
        <v>40</v>
      </c>
      <c r="I504">
        <v>1</v>
      </c>
      <c r="J504">
        <v>1</v>
      </c>
      <c r="K504" t="s">
        <v>127</v>
      </c>
      <c r="L504" t="s">
        <v>109</v>
      </c>
      <c r="M504" t="s">
        <v>116</v>
      </c>
      <c r="N504">
        <v>3</v>
      </c>
    </row>
    <row r="505" spans="2:14" x14ac:dyDescent="0.3">
      <c r="B505">
        <v>504</v>
      </c>
      <c r="C505" t="s">
        <v>390</v>
      </c>
      <c r="D505" t="s">
        <v>12</v>
      </c>
      <c r="E505" t="s">
        <v>14</v>
      </c>
      <c r="F505" t="s">
        <v>22</v>
      </c>
      <c r="G505" t="s">
        <v>32</v>
      </c>
      <c r="H505">
        <v>24</v>
      </c>
      <c r="I505">
        <v>4</v>
      </c>
      <c r="J505">
        <v>1</v>
      </c>
      <c r="K505" t="s">
        <v>127</v>
      </c>
      <c r="L505" t="s">
        <v>109</v>
      </c>
      <c r="M505" t="s">
        <v>116</v>
      </c>
      <c r="N505">
        <v>3</v>
      </c>
    </row>
    <row r="506" spans="2:14" x14ac:dyDescent="0.3">
      <c r="B506">
        <v>505</v>
      </c>
      <c r="C506" t="s">
        <v>391</v>
      </c>
      <c r="D506" t="s">
        <v>9</v>
      </c>
      <c r="E506" t="s">
        <v>14</v>
      </c>
      <c r="F506" t="s">
        <v>22</v>
      </c>
      <c r="G506" t="s">
        <v>32</v>
      </c>
      <c r="H506">
        <v>105</v>
      </c>
      <c r="I506">
        <v>2</v>
      </c>
      <c r="J506">
        <v>2</v>
      </c>
      <c r="K506" t="s">
        <v>127</v>
      </c>
      <c r="L506" t="s">
        <v>109</v>
      </c>
      <c r="M506" t="s">
        <v>116</v>
      </c>
      <c r="N506">
        <v>3</v>
      </c>
    </row>
    <row r="507" spans="2:14" x14ac:dyDescent="0.3">
      <c r="B507">
        <v>506</v>
      </c>
      <c r="C507" t="s">
        <v>392</v>
      </c>
      <c r="D507" t="s">
        <v>11</v>
      </c>
      <c r="E507" t="s">
        <v>16</v>
      </c>
      <c r="F507" t="s">
        <v>24</v>
      </c>
      <c r="G507" t="s">
        <v>33</v>
      </c>
      <c r="H507">
        <v>35</v>
      </c>
      <c r="I507">
        <v>1</v>
      </c>
      <c r="J507">
        <v>2</v>
      </c>
      <c r="K507" t="s">
        <v>127</v>
      </c>
      <c r="L507" t="s">
        <v>109</v>
      </c>
      <c r="M507" t="s">
        <v>116</v>
      </c>
      <c r="N507">
        <v>3</v>
      </c>
    </row>
    <row r="508" spans="2:14" x14ac:dyDescent="0.3">
      <c r="B508">
        <v>507</v>
      </c>
      <c r="C508" t="s">
        <v>393</v>
      </c>
      <c r="D508" t="s">
        <v>13</v>
      </c>
      <c r="E508" t="s">
        <v>19</v>
      </c>
      <c r="F508" t="s">
        <v>28</v>
      </c>
      <c r="G508" t="s">
        <v>34</v>
      </c>
      <c r="H508">
        <v>33</v>
      </c>
      <c r="I508">
        <v>1</v>
      </c>
      <c r="J508">
        <v>1</v>
      </c>
      <c r="K508" t="s">
        <v>127</v>
      </c>
      <c r="L508" t="s">
        <v>109</v>
      </c>
      <c r="M508" t="s">
        <v>116</v>
      </c>
      <c r="N508">
        <v>3</v>
      </c>
    </row>
    <row r="509" spans="2:14" x14ac:dyDescent="0.3">
      <c r="B509">
        <v>508</v>
      </c>
      <c r="C509" t="s">
        <v>394</v>
      </c>
      <c r="D509" t="s">
        <v>12</v>
      </c>
      <c r="E509" t="s">
        <v>14</v>
      </c>
      <c r="F509" t="s">
        <v>22</v>
      </c>
      <c r="G509" t="s">
        <v>32</v>
      </c>
      <c r="H509">
        <v>30</v>
      </c>
      <c r="I509">
        <v>1</v>
      </c>
      <c r="J509">
        <v>0</v>
      </c>
      <c r="K509" t="s">
        <v>127</v>
      </c>
      <c r="L509" t="s">
        <v>109</v>
      </c>
      <c r="M509" t="s">
        <v>116</v>
      </c>
      <c r="N509">
        <v>3</v>
      </c>
    </row>
    <row r="510" spans="2:14" x14ac:dyDescent="0.3">
      <c r="B510">
        <v>509</v>
      </c>
      <c r="C510" t="s">
        <v>395</v>
      </c>
      <c r="D510" t="s">
        <v>13</v>
      </c>
      <c r="E510" t="s">
        <v>19</v>
      </c>
      <c r="F510" t="s">
        <v>28</v>
      </c>
      <c r="G510" t="s">
        <v>34</v>
      </c>
      <c r="H510">
        <v>31</v>
      </c>
      <c r="I510">
        <v>3</v>
      </c>
      <c r="J510">
        <v>4</v>
      </c>
      <c r="K510" t="s">
        <v>127</v>
      </c>
      <c r="L510" t="s">
        <v>109</v>
      </c>
      <c r="M510" t="s">
        <v>116</v>
      </c>
      <c r="N510">
        <v>3</v>
      </c>
    </row>
    <row r="511" spans="2:14" x14ac:dyDescent="0.3">
      <c r="B511">
        <v>510</v>
      </c>
      <c r="C511" t="s">
        <v>396</v>
      </c>
      <c r="D511" t="s">
        <v>9</v>
      </c>
      <c r="E511" t="s">
        <v>16</v>
      </c>
      <c r="F511" t="s">
        <v>24</v>
      </c>
      <c r="G511" t="s">
        <v>33</v>
      </c>
      <c r="H511">
        <v>117</v>
      </c>
      <c r="I511">
        <v>1</v>
      </c>
      <c r="J511">
        <v>2</v>
      </c>
      <c r="K511" t="s">
        <v>127</v>
      </c>
      <c r="L511" t="s">
        <v>109</v>
      </c>
      <c r="M511" t="s">
        <v>116</v>
      </c>
      <c r="N511">
        <v>3</v>
      </c>
    </row>
    <row r="512" spans="2:14" x14ac:dyDescent="0.3">
      <c r="B512">
        <v>511</v>
      </c>
      <c r="C512" t="s">
        <v>397</v>
      </c>
      <c r="D512" t="s">
        <v>12</v>
      </c>
      <c r="E512" t="s">
        <v>19</v>
      </c>
      <c r="F512" t="s">
        <v>28</v>
      </c>
      <c r="G512" t="s">
        <v>34</v>
      </c>
      <c r="H512">
        <v>24</v>
      </c>
      <c r="I512">
        <v>1</v>
      </c>
      <c r="J512">
        <v>2</v>
      </c>
      <c r="K512" t="s">
        <v>127</v>
      </c>
      <c r="L512" t="s">
        <v>109</v>
      </c>
      <c r="M512" t="s">
        <v>116</v>
      </c>
      <c r="N512">
        <v>3</v>
      </c>
    </row>
    <row r="513" spans="2:14" x14ac:dyDescent="0.3">
      <c r="B513">
        <v>512</v>
      </c>
      <c r="C513" t="s">
        <v>398</v>
      </c>
      <c r="D513" t="s">
        <v>13</v>
      </c>
      <c r="E513" t="s">
        <v>16</v>
      </c>
      <c r="F513" t="s">
        <v>24</v>
      </c>
      <c r="G513" t="s">
        <v>33</v>
      </c>
      <c r="H513">
        <v>33</v>
      </c>
      <c r="I513">
        <v>1</v>
      </c>
      <c r="J513">
        <v>0</v>
      </c>
      <c r="K513" t="s">
        <v>127</v>
      </c>
      <c r="L513" t="s">
        <v>109</v>
      </c>
      <c r="M513" t="s">
        <v>116</v>
      </c>
      <c r="N513">
        <v>3</v>
      </c>
    </row>
    <row r="514" spans="2:14" x14ac:dyDescent="0.3">
      <c r="B514">
        <v>513</v>
      </c>
      <c r="C514" t="s">
        <v>399</v>
      </c>
      <c r="D514" t="s">
        <v>9</v>
      </c>
      <c r="E514" t="s">
        <v>16</v>
      </c>
      <c r="F514" t="s">
        <v>24</v>
      </c>
      <c r="G514" t="s">
        <v>33</v>
      </c>
      <c r="H514">
        <v>117</v>
      </c>
      <c r="I514">
        <v>2</v>
      </c>
      <c r="J514">
        <v>2</v>
      </c>
      <c r="K514" t="s">
        <v>127</v>
      </c>
      <c r="L514" t="s">
        <v>109</v>
      </c>
      <c r="M514" t="s">
        <v>116</v>
      </c>
      <c r="N514">
        <v>3</v>
      </c>
    </row>
    <row r="515" spans="2:14" x14ac:dyDescent="0.3">
      <c r="B515">
        <v>514</v>
      </c>
      <c r="C515" t="s">
        <v>400</v>
      </c>
      <c r="D515" t="s">
        <v>10</v>
      </c>
      <c r="E515" t="s">
        <v>16</v>
      </c>
      <c r="F515" t="s">
        <v>24</v>
      </c>
      <c r="G515" t="s">
        <v>33</v>
      </c>
      <c r="H515">
        <v>88</v>
      </c>
      <c r="I515">
        <v>2</v>
      </c>
      <c r="J515">
        <v>0</v>
      </c>
      <c r="K515" t="s">
        <v>127</v>
      </c>
      <c r="L515" t="s">
        <v>109</v>
      </c>
      <c r="M515" t="s">
        <v>116</v>
      </c>
      <c r="N515">
        <v>3</v>
      </c>
    </row>
    <row r="516" spans="2:14" x14ac:dyDescent="0.3">
      <c r="B516">
        <v>515</v>
      </c>
      <c r="C516" t="s">
        <v>401</v>
      </c>
      <c r="D516" t="s">
        <v>13</v>
      </c>
      <c r="E516" t="s">
        <v>16</v>
      </c>
      <c r="F516" t="s">
        <v>24</v>
      </c>
      <c r="G516" t="s">
        <v>33</v>
      </c>
      <c r="H516">
        <v>37</v>
      </c>
      <c r="I516">
        <v>1</v>
      </c>
      <c r="J516">
        <v>0</v>
      </c>
      <c r="K516" t="s">
        <v>127</v>
      </c>
      <c r="L516" t="s">
        <v>110</v>
      </c>
      <c r="M516" t="s">
        <v>117</v>
      </c>
      <c r="N516">
        <v>4</v>
      </c>
    </row>
    <row r="517" spans="2:14" x14ac:dyDescent="0.3">
      <c r="B517">
        <v>516</v>
      </c>
      <c r="C517" t="s">
        <v>402</v>
      </c>
      <c r="D517" t="s">
        <v>11</v>
      </c>
      <c r="E517" t="s">
        <v>14</v>
      </c>
      <c r="F517" t="s">
        <v>22</v>
      </c>
      <c r="G517" t="s">
        <v>32</v>
      </c>
      <c r="H517">
        <v>50</v>
      </c>
      <c r="I517">
        <v>2</v>
      </c>
      <c r="J517">
        <v>0</v>
      </c>
      <c r="K517" t="s">
        <v>127</v>
      </c>
      <c r="L517" t="s">
        <v>110</v>
      </c>
      <c r="M517" t="s">
        <v>117</v>
      </c>
      <c r="N517">
        <v>4</v>
      </c>
    </row>
    <row r="518" spans="2:14" x14ac:dyDescent="0.3">
      <c r="B518">
        <v>517</v>
      </c>
      <c r="C518" t="s">
        <v>403</v>
      </c>
      <c r="D518" t="s">
        <v>11</v>
      </c>
      <c r="E518" t="s">
        <v>16</v>
      </c>
      <c r="F518" t="s">
        <v>24</v>
      </c>
      <c r="G518" t="s">
        <v>33</v>
      </c>
      <c r="H518">
        <v>36</v>
      </c>
      <c r="I518">
        <v>1</v>
      </c>
      <c r="J518">
        <v>2</v>
      </c>
      <c r="K518" t="s">
        <v>127</v>
      </c>
      <c r="L518" t="s">
        <v>110</v>
      </c>
      <c r="M518" t="s">
        <v>117</v>
      </c>
      <c r="N518">
        <v>4</v>
      </c>
    </row>
    <row r="519" spans="2:14" x14ac:dyDescent="0.3">
      <c r="B519">
        <v>518</v>
      </c>
      <c r="C519" t="s">
        <v>404</v>
      </c>
      <c r="D519" t="s">
        <v>11</v>
      </c>
      <c r="E519" t="s">
        <v>14</v>
      </c>
      <c r="F519" t="s">
        <v>22</v>
      </c>
      <c r="G519" t="s">
        <v>32</v>
      </c>
      <c r="H519">
        <v>50</v>
      </c>
      <c r="I519">
        <v>1</v>
      </c>
      <c r="J519">
        <v>4</v>
      </c>
      <c r="K519" t="s">
        <v>127</v>
      </c>
      <c r="L519" t="s">
        <v>110</v>
      </c>
      <c r="M519" t="s">
        <v>117</v>
      </c>
      <c r="N519">
        <v>4</v>
      </c>
    </row>
    <row r="520" spans="2:14" x14ac:dyDescent="0.3">
      <c r="B520">
        <v>519</v>
      </c>
      <c r="C520" t="s">
        <v>405</v>
      </c>
      <c r="D520" t="s">
        <v>13</v>
      </c>
      <c r="E520" t="s">
        <v>16</v>
      </c>
      <c r="F520" t="s">
        <v>24</v>
      </c>
      <c r="G520" t="s">
        <v>33</v>
      </c>
      <c r="H520">
        <v>37</v>
      </c>
      <c r="I520">
        <v>1</v>
      </c>
      <c r="J520">
        <v>5</v>
      </c>
      <c r="K520" t="s">
        <v>127</v>
      </c>
      <c r="L520" t="s">
        <v>110</v>
      </c>
      <c r="M520" t="s">
        <v>117</v>
      </c>
      <c r="N520">
        <v>4</v>
      </c>
    </row>
    <row r="521" spans="2:14" x14ac:dyDescent="0.3">
      <c r="B521">
        <v>520</v>
      </c>
      <c r="C521" t="s">
        <v>406</v>
      </c>
      <c r="D521" t="s">
        <v>11</v>
      </c>
      <c r="E521" t="s">
        <v>16</v>
      </c>
      <c r="F521" t="s">
        <v>24</v>
      </c>
      <c r="G521" t="s">
        <v>33</v>
      </c>
      <c r="H521">
        <v>36</v>
      </c>
      <c r="I521">
        <v>1</v>
      </c>
      <c r="J521">
        <v>1</v>
      </c>
      <c r="K521" t="s">
        <v>127</v>
      </c>
      <c r="L521" t="s">
        <v>110</v>
      </c>
      <c r="M521" t="s">
        <v>117</v>
      </c>
      <c r="N521">
        <v>4</v>
      </c>
    </row>
    <row r="522" spans="2:14" x14ac:dyDescent="0.3">
      <c r="B522">
        <v>521</v>
      </c>
      <c r="C522" t="s">
        <v>407</v>
      </c>
      <c r="D522" t="s">
        <v>10</v>
      </c>
      <c r="E522" t="s">
        <v>14</v>
      </c>
      <c r="F522" t="s">
        <v>22</v>
      </c>
      <c r="G522" t="s">
        <v>32</v>
      </c>
      <c r="H522">
        <v>80</v>
      </c>
      <c r="I522">
        <v>1</v>
      </c>
      <c r="J522">
        <v>1</v>
      </c>
      <c r="K522" t="s">
        <v>127</v>
      </c>
      <c r="L522" t="s">
        <v>110</v>
      </c>
      <c r="M522" t="s">
        <v>117</v>
      </c>
      <c r="N522">
        <v>4</v>
      </c>
    </row>
    <row r="523" spans="2:14" x14ac:dyDescent="0.3">
      <c r="B523">
        <v>522</v>
      </c>
      <c r="C523" t="s">
        <v>408</v>
      </c>
      <c r="D523" t="s">
        <v>13</v>
      </c>
      <c r="E523" t="s">
        <v>19</v>
      </c>
      <c r="F523" t="s">
        <v>28</v>
      </c>
      <c r="G523" t="s">
        <v>34</v>
      </c>
      <c r="H523">
        <v>39</v>
      </c>
      <c r="I523">
        <v>1</v>
      </c>
      <c r="J523">
        <v>1</v>
      </c>
      <c r="K523" t="s">
        <v>127</v>
      </c>
      <c r="L523" t="s">
        <v>110</v>
      </c>
      <c r="M523" t="s">
        <v>117</v>
      </c>
      <c r="N523">
        <v>4</v>
      </c>
    </row>
    <row r="524" spans="2:14" x14ac:dyDescent="0.3">
      <c r="B524">
        <v>523</v>
      </c>
      <c r="C524" t="s">
        <v>409</v>
      </c>
      <c r="D524" t="s">
        <v>12</v>
      </c>
      <c r="E524" t="s">
        <v>16</v>
      </c>
      <c r="F524" t="s">
        <v>24</v>
      </c>
      <c r="G524" t="s">
        <v>33</v>
      </c>
      <c r="H524">
        <v>30</v>
      </c>
      <c r="I524">
        <v>2</v>
      </c>
      <c r="J524">
        <v>1</v>
      </c>
      <c r="K524" t="s">
        <v>127</v>
      </c>
      <c r="L524" t="s">
        <v>110</v>
      </c>
      <c r="M524" t="s">
        <v>117</v>
      </c>
      <c r="N524">
        <v>4</v>
      </c>
    </row>
    <row r="525" spans="2:14" x14ac:dyDescent="0.3">
      <c r="B525">
        <v>524</v>
      </c>
      <c r="C525" t="s">
        <v>410</v>
      </c>
      <c r="D525" t="s">
        <v>12</v>
      </c>
      <c r="E525" t="s">
        <v>14</v>
      </c>
      <c r="F525" t="s">
        <v>22</v>
      </c>
      <c r="G525" t="s">
        <v>32</v>
      </c>
      <c r="H525">
        <v>23</v>
      </c>
      <c r="I525">
        <v>1</v>
      </c>
      <c r="J525">
        <v>2</v>
      </c>
      <c r="K525" t="s">
        <v>127</v>
      </c>
      <c r="L525" t="s">
        <v>110</v>
      </c>
      <c r="M525" t="s">
        <v>117</v>
      </c>
      <c r="N525">
        <v>4</v>
      </c>
    </row>
    <row r="526" spans="2:14" x14ac:dyDescent="0.3">
      <c r="B526">
        <v>525</v>
      </c>
      <c r="C526" t="s">
        <v>411</v>
      </c>
      <c r="D526" t="s">
        <v>10</v>
      </c>
      <c r="E526" t="s">
        <v>14</v>
      </c>
      <c r="F526" t="s">
        <v>22</v>
      </c>
      <c r="G526" t="s">
        <v>32</v>
      </c>
      <c r="H526">
        <v>82</v>
      </c>
      <c r="I526">
        <v>1</v>
      </c>
      <c r="J526">
        <v>0</v>
      </c>
      <c r="K526" t="s">
        <v>127</v>
      </c>
      <c r="L526" t="s">
        <v>110</v>
      </c>
      <c r="M526" t="s">
        <v>117</v>
      </c>
      <c r="N526">
        <v>4</v>
      </c>
    </row>
    <row r="527" spans="2:14" x14ac:dyDescent="0.3">
      <c r="B527">
        <v>526</v>
      </c>
      <c r="C527" t="s">
        <v>412</v>
      </c>
      <c r="D527" t="s">
        <v>12</v>
      </c>
      <c r="E527" t="s">
        <v>16</v>
      </c>
      <c r="F527" t="s">
        <v>24</v>
      </c>
      <c r="G527" t="s">
        <v>33</v>
      </c>
      <c r="H527">
        <v>30</v>
      </c>
      <c r="I527">
        <v>2</v>
      </c>
      <c r="J527">
        <v>2</v>
      </c>
      <c r="K527" t="s">
        <v>127</v>
      </c>
      <c r="L527" t="s">
        <v>110</v>
      </c>
      <c r="M527" t="s">
        <v>117</v>
      </c>
      <c r="N527">
        <v>4</v>
      </c>
    </row>
    <row r="528" spans="2:14" x14ac:dyDescent="0.3">
      <c r="B528">
        <v>527</v>
      </c>
      <c r="C528" t="s">
        <v>413</v>
      </c>
      <c r="D528" t="s">
        <v>12</v>
      </c>
      <c r="E528" t="s">
        <v>16</v>
      </c>
      <c r="F528" t="s">
        <v>24</v>
      </c>
      <c r="G528" t="s">
        <v>33</v>
      </c>
      <c r="H528">
        <v>22</v>
      </c>
      <c r="I528">
        <v>1</v>
      </c>
      <c r="J528">
        <v>1</v>
      </c>
      <c r="K528" t="s">
        <v>127</v>
      </c>
      <c r="L528" t="s">
        <v>110</v>
      </c>
      <c r="M528" t="s">
        <v>117</v>
      </c>
      <c r="N528">
        <v>4</v>
      </c>
    </row>
    <row r="529" spans="2:14" x14ac:dyDescent="0.3">
      <c r="B529">
        <v>528</v>
      </c>
      <c r="C529" t="s">
        <v>414</v>
      </c>
      <c r="D529" t="s">
        <v>9</v>
      </c>
      <c r="E529" t="s">
        <v>14</v>
      </c>
      <c r="F529" t="s">
        <v>22</v>
      </c>
      <c r="G529" t="s">
        <v>32</v>
      </c>
      <c r="H529">
        <v>115</v>
      </c>
      <c r="I529">
        <v>1</v>
      </c>
      <c r="J529">
        <v>1</v>
      </c>
      <c r="K529" t="s">
        <v>127</v>
      </c>
      <c r="L529" t="s">
        <v>110</v>
      </c>
      <c r="M529" t="s">
        <v>117</v>
      </c>
      <c r="N529">
        <v>4</v>
      </c>
    </row>
    <row r="530" spans="2:14" x14ac:dyDescent="0.3">
      <c r="B530">
        <v>529</v>
      </c>
      <c r="C530" t="s">
        <v>415</v>
      </c>
      <c r="D530" t="s">
        <v>11</v>
      </c>
      <c r="E530" t="s">
        <v>16</v>
      </c>
      <c r="F530" t="s">
        <v>24</v>
      </c>
      <c r="G530" t="s">
        <v>33</v>
      </c>
      <c r="H530">
        <v>50</v>
      </c>
      <c r="I530">
        <v>1</v>
      </c>
      <c r="J530">
        <v>1</v>
      </c>
      <c r="K530" t="s">
        <v>127</v>
      </c>
      <c r="L530" t="s">
        <v>110</v>
      </c>
      <c r="M530" t="s">
        <v>117</v>
      </c>
      <c r="N530">
        <v>4</v>
      </c>
    </row>
    <row r="531" spans="2:14" x14ac:dyDescent="0.3">
      <c r="B531">
        <v>530</v>
      </c>
      <c r="C531" t="s">
        <v>416</v>
      </c>
      <c r="D531" t="s">
        <v>12</v>
      </c>
      <c r="E531" t="s">
        <v>14</v>
      </c>
      <c r="F531" t="s">
        <v>22</v>
      </c>
      <c r="G531" t="s">
        <v>32</v>
      </c>
      <c r="H531">
        <v>30</v>
      </c>
      <c r="I531">
        <v>2</v>
      </c>
      <c r="J531">
        <v>1</v>
      </c>
      <c r="K531" t="s">
        <v>127</v>
      </c>
      <c r="L531" t="s">
        <v>110</v>
      </c>
      <c r="M531" t="s">
        <v>117</v>
      </c>
      <c r="N531">
        <v>4</v>
      </c>
    </row>
    <row r="532" spans="2:14" x14ac:dyDescent="0.3">
      <c r="B532">
        <v>531</v>
      </c>
      <c r="C532" t="s">
        <v>417</v>
      </c>
      <c r="D532" t="s">
        <v>10</v>
      </c>
      <c r="E532" t="s">
        <v>19</v>
      </c>
      <c r="F532" t="s">
        <v>28</v>
      </c>
      <c r="G532" t="s">
        <v>34</v>
      </c>
      <c r="H532">
        <v>83</v>
      </c>
      <c r="I532">
        <v>1</v>
      </c>
      <c r="J532">
        <v>2</v>
      </c>
      <c r="K532" t="s">
        <v>127</v>
      </c>
      <c r="L532" t="s">
        <v>110</v>
      </c>
      <c r="M532" t="s">
        <v>117</v>
      </c>
      <c r="N532">
        <v>4</v>
      </c>
    </row>
    <row r="533" spans="2:14" x14ac:dyDescent="0.3">
      <c r="B533">
        <v>532</v>
      </c>
      <c r="C533" t="s">
        <v>418</v>
      </c>
      <c r="D533" t="s">
        <v>10</v>
      </c>
      <c r="E533" t="s">
        <v>14</v>
      </c>
      <c r="F533" t="s">
        <v>22</v>
      </c>
      <c r="G533" t="s">
        <v>32</v>
      </c>
      <c r="H533">
        <v>83</v>
      </c>
      <c r="I533">
        <v>2</v>
      </c>
      <c r="J533">
        <v>0</v>
      </c>
      <c r="K533" t="s">
        <v>127</v>
      </c>
      <c r="L533" t="s">
        <v>110</v>
      </c>
      <c r="M533" t="s">
        <v>117</v>
      </c>
      <c r="N533">
        <v>4</v>
      </c>
    </row>
    <row r="534" spans="2:14" x14ac:dyDescent="0.3">
      <c r="B534">
        <v>533</v>
      </c>
      <c r="C534" t="s">
        <v>419</v>
      </c>
      <c r="D534" t="s">
        <v>12</v>
      </c>
      <c r="E534" t="s">
        <v>16</v>
      </c>
      <c r="F534" t="s">
        <v>24</v>
      </c>
      <c r="G534" t="s">
        <v>33</v>
      </c>
      <c r="H534">
        <v>22</v>
      </c>
      <c r="I534">
        <v>2</v>
      </c>
      <c r="J534">
        <v>0</v>
      </c>
      <c r="K534" t="s">
        <v>127</v>
      </c>
      <c r="L534" t="s">
        <v>110</v>
      </c>
      <c r="M534" t="s">
        <v>117</v>
      </c>
      <c r="N534">
        <v>4</v>
      </c>
    </row>
    <row r="535" spans="2:14" x14ac:dyDescent="0.3">
      <c r="B535">
        <v>534</v>
      </c>
      <c r="C535" t="s">
        <v>420</v>
      </c>
      <c r="D535" t="s">
        <v>11</v>
      </c>
      <c r="E535" t="s">
        <v>19</v>
      </c>
      <c r="F535" t="s">
        <v>28</v>
      </c>
      <c r="G535" t="s">
        <v>34</v>
      </c>
      <c r="H535">
        <v>31</v>
      </c>
      <c r="I535">
        <v>2</v>
      </c>
      <c r="J535">
        <v>1</v>
      </c>
      <c r="K535" t="s">
        <v>127</v>
      </c>
      <c r="L535" t="s">
        <v>110</v>
      </c>
      <c r="M535" t="s">
        <v>117</v>
      </c>
      <c r="N535">
        <v>4</v>
      </c>
    </row>
    <row r="536" spans="2:14" x14ac:dyDescent="0.3">
      <c r="B536">
        <v>535</v>
      </c>
      <c r="C536" t="s">
        <v>421</v>
      </c>
      <c r="D536" t="s">
        <v>13</v>
      </c>
      <c r="E536" t="s">
        <v>16</v>
      </c>
      <c r="F536" t="s">
        <v>24</v>
      </c>
      <c r="G536" t="s">
        <v>33</v>
      </c>
      <c r="H536">
        <v>39</v>
      </c>
      <c r="I536">
        <v>1</v>
      </c>
      <c r="J536">
        <v>3</v>
      </c>
      <c r="K536" t="s">
        <v>127</v>
      </c>
      <c r="L536" t="s">
        <v>110</v>
      </c>
      <c r="M536" t="s">
        <v>117</v>
      </c>
      <c r="N536">
        <v>4</v>
      </c>
    </row>
    <row r="537" spans="2:14" x14ac:dyDescent="0.3">
      <c r="B537">
        <v>536</v>
      </c>
      <c r="C537" t="s">
        <v>422</v>
      </c>
      <c r="D537" t="s">
        <v>11</v>
      </c>
      <c r="E537" t="s">
        <v>16</v>
      </c>
      <c r="F537" t="s">
        <v>24</v>
      </c>
      <c r="G537" t="s">
        <v>33</v>
      </c>
      <c r="H537">
        <v>33</v>
      </c>
      <c r="I537">
        <v>3</v>
      </c>
      <c r="J537">
        <v>2</v>
      </c>
      <c r="K537" t="s">
        <v>127</v>
      </c>
      <c r="L537" t="s">
        <v>110</v>
      </c>
      <c r="M537" t="s">
        <v>117</v>
      </c>
      <c r="N537">
        <v>4</v>
      </c>
    </row>
    <row r="538" spans="2:14" x14ac:dyDescent="0.3">
      <c r="B538">
        <v>537</v>
      </c>
      <c r="C538" t="s">
        <v>423</v>
      </c>
      <c r="D538" t="s">
        <v>13</v>
      </c>
      <c r="E538" t="s">
        <v>19</v>
      </c>
      <c r="F538" t="s">
        <v>28</v>
      </c>
      <c r="G538" t="s">
        <v>34</v>
      </c>
      <c r="H538">
        <v>30</v>
      </c>
      <c r="I538">
        <v>2</v>
      </c>
      <c r="J538">
        <v>1</v>
      </c>
      <c r="K538" t="s">
        <v>127</v>
      </c>
      <c r="L538" t="s">
        <v>110</v>
      </c>
      <c r="M538" t="s">
        <v>117</v>
      </c>
      <c r="N538">
        <v>4</v>
      </c>
    </row>
    <row r="539" spans="2:14" x14ac:dyDescent="0.3">
      <c r="B539">
        <v>538</v>
      </c>
      <c r="C539" t="s">
        <v>424</v>
      </c>
      <c r="D539" t="s">
        <v>9</v>
      </c>
      <c r="E539" t="s">
        <v>14</v>
      </c>
      <c r="F539" t="s">
        <v>22</v>
      </c>
      <c r="G539" t="s">
        <v>32</v>
      </c>
      <c r="H539">
        <v>110</v>
      </c>
      <c r="I539">
        <v>1</v>
      </c>
      <c r="J539">
        <v>1</v>
      </c>
      <c r="K539" t="s">
        <v>127</v>
      </c>
      <c r="L539" t="s">
        <v>110</v>
      </c>
      <c r="M539" t="s">
        <v>117</v>
      </c>
      <c r="N539">
        <v>4</v>
      </c>
    </row>
    <row r="540" spans="2:14" x14ac:dyDescent="0.3">
      <c r="B540">
        <v>539</v>
      </c>
      <c r="C540" t="s">
        <v>425</v>
      </c>
      <c r="D540" t="s">
        <v>13</v>
      </c>
      <c r="E540" t="s">
        <v>14</v>
      </c>
      <c r="F540" t="s">
        <v>22</v>
      </c>
      <c r="G540" t="s">
        <v>32</v>
      </c>
      <c r="H540">
        <v>33</v>
      </c>
      <c r="I540">
        <v>1</v>
      </c>
      <c r="J540">
        <v>0</v>
      </c>
      <c r="K540" t="s">
        <v>127</v>
      </c>
      <c r="L540" t="s">
        <v>110</v>
      </c>
      <c r="M540" t="s">
        <v>117</v>
      </c>
      <c r="N540">
        <v>4</v>
      </c>
    </row>
    <row r="541" spans="2:14" x14ac:dyDescent="0.3">
      <c r="B541">
        <v>540</v>
      </c>
      <c r="C541" t="s">
        <v>426</v>
      </c>
      <c r="D541" t="s">
        <v>9</v>
      </c>
      <c r="E541" t="s">
        <v>14</v>
      </c>
      <c r="F541" t="s">
        <v>22</v>
      </c>
      <c r="G541" t="s">
        <v>32</v>
      </c>
      <c r="H541">
        <v>105</v>
      </c>
      <c r="I541">
        <v>1</v>
      </c>
      <c r="J541">
        <v>2</v>
      </c>
      <c r="K541" t="s">
        <v>127</v>
      </c>
      <c r="L541" t="s">
        <v>110</v>
      </c>
      <c r="M541" t="s">
        <v>117</v>
      </c>
      <c r="N541">
        <v>4</v>
      </c>
    </row>
    <row r="542" spans="2:14" x14ac:dyDescent="0.3">
      <c r="B542">
        <v>541</v>
      </c>
      <c r="C542" t="s">
        <v>427</v>
      </c>
      <c r="D542" t="s">
        <v>11</v>
      </c>
      <c r="E542" t="s">
        <v>19</v>
      </c>
      <c r="F542" t="s">
        <v>28</v>
      </c>
      <c r="G542" t="s">
        <v>34</v>
      </c>
      <c r="H542">
        <v>31</v>
      </c>
      <c r="I542">
        <v>1</v>
      </c>
      <c r="J542">
        <v>0</v>
      </c>
      <c r="K542" t="s">
        <v>127</v>
      </c>
      <c r="L542" t="s">
        <v>110</v>
      </c>
      <c r="M542" t="s">
        <v>117</v>
      </c>
      <c r="N542">
        <v>4</v>
      </c>
    </row>
    <row r="543" spans="2:14" x14ac:dyDescent="0.3">
      <c r="B543">
        <v>542</v>
      </c>
      <c r="C543" t="s">
        <v>428</v>
      </c>
      <c r="D543" t="s">
        <v>13</v>
      </c>
      <c r="E543" t="s">
        <v>19</v>
      </c>
      <c r="F543" t="s">
        <v>28</v>
      </c>
      <c r="G543" t="s">
        <v>34</v>
      </c>
      <c r="H543">
        <v>39</v>
      </c>
      <c r="I543">
        <v>1</v>
      </c>
      <c r="J543">
        <v>0</v>
      </c>
      <c r="K543" t="s">
        <v>127</v>
      </c>
      <c r="L543" t="s">
        <v>110</v>
      </c>
      <c r="M543" t="s">
        <v>117</v>
      </c>
      <c r="N543">
        <v>4</v>
      </c>
    </row>
    <row r="544" spans="2:14" x14ac:dyDescent="0.3">
      <c r="B544">
        <v>543</v>
      </c>
      <c r="C544" t="s">
        <v>429</v>
      </c>
      <c r="D544" t="s">
        <v>13</v>
      </c>
      <c r="E544" t="s">
        <v>19</v>
      </c>
      <c r="F544" t="s">
        <v>28</v>
      </c>
      <c r="G544" t="s">
        <v>34</v>
      </c>
      <c r="H544">
        <v>30</v>
      </c>
      <c r="I544">
        <v>2</v>
      </c>
      <c r="J544">
        <v>2</v>
      </c>
      <c r="K544" t="s">
        <v>127</v>
      </c>
      <c r="L544" t="s">
        <v>110</v>
      </c>
      <c r="M544" t="s">
        <v>117</v>
      </c>
      <c r="N544">
        <v>4</v>
      </c>
    </row>
    <row r="545" spans="2:14" x14ac:dyDescent="0.3">
      <c r="B545">
        <v>544</v>
      </c>
      <c r="C545" t="s">
        <v>430</v>
      </c>
      <c r="D545" t="s">
        <v>13</v>
      </c>
      <c r="E545" t="s">
        <v>14</v>
      </c>
      <c r="F545" t="s">
        <v>22</v>
      </c>
      <c r="G545" t="s">
        <v>32</v>
      </c>
      <c r="H545">
        <v>40</v>
      </c>
      <c r="I545">
        <v>3</v>
      </c>
      <c r="J545">
        <v>1</v>
      </c>
      <c r="K545" t="s">
        <v>127</v>
      </c>
      <c r="L545" t="s">
        <v>110</v>
      </c>
      <c r="M545" t="s">
        <v>117</v>
      </c>
      <c r="N545">
        <v>4</v>
      </c>
    </row>
    <row r="546" spans="2:14" x14ac:dyDescent="0.3">
      <c r="B546">
        <v>545</v>
      </c>
      <c r="C546" t="s">
        <v>431</v>
      </c>
      <c r="D546" t="s">
        <v>11</v>
      </c>
      <c r="E546" t="s">
        <v>14</v>
      </c>
      <c r="F546" t="s">
        <v>22</v>
      </c>
      <c r="G546" t="s">
        <v>32</v>
      </c>
      <c r="H546">
        <v>50</v>
      </c>
      <c r="I546">
        <v>1</v>
      </c>
      <c r="J546">
        <v>1</v>
      </c>
      <c r="K546" t="s">
        <v>127</v>
      </c>
      <c r="L546" t="s">
        <v>110</v>
      </c>
      <c r="M546" t="s">
        <v>118</v>
      </c>
      <c r="N546">
        <v>5</v>
      </c>
    </row>
    <row r="547" spans="2:14" x14ac:dyDescent="0.3">
      <c r="B547">
        <v>546</v>
      </c>
      <c r="C547" t="s">
        <v>432</v>
      </c>
      <c r="D547" t="s">
        <v>10</v>
      </c>
      <c r="E547" t="s">
        <v>19</v>
      </c>
      <c r="F547" t="s">
        <v>28</v>
      </c>
      <c r="G547" t="s">
        <v>34</v>
      </c>
      <c r="H547">
        <v>85</v>
      </c>
      <c r="I547">
        <v>3</v>
      </c>
      <c r="J547">
        <v>2</v>
      </c>
      <c r="K547" t="s">
        <v>127</v>
      </c>
      <c r="L547" t="s">
        <v>110</v>
      </c>
      <c r="M547" t="s">
        <v>118</v>
      </c>
      <c r="N547">
        <v>5</v>
      </c>
    </row>
    <row r="548" spans="2:14" x14ac:dyDescent="0.3">
      <c r="B548">
        <v>547</v>
      </c>
      <c r="C548" t="s">
        <v>433</v>
      </c>
      <c r="D548" t="s">
        <v>11</v>
      </c>
      <c r="E548" t="s">
        <v>14</v>
      </c>
      <c r="F548" t="s">
        <v>22</v>
      </c>
      <c r="G548" t="s">
        <v>32</v>
      </c>
      <c r="H548">
        <v>37</v>
      </c>
      <c r="I548">
        <v>2</v>
      </c>
      <c r="J548">
        <v>2</v>
      </c>
      <c r="K548" t="s">
        <v>127</v>
      </c>
      <c r="L548" t="s">
        <v>110</v>
      </c>
      <c r="M548" t="s">
        <v>118</v>
      </c>
      <c r="N548">
        <v>5</v>
      </c>
    </row>
    <row r="549" spans="2:14" x14ac:dyDescent="0.3">
      <c r="B549">
        <v>548</v>
      </c>
      <c r="C549" t="s">
        <v>434</v>
      </c>
      <c r="D549" t="s">
        <v>12</v>
      </c>
      <c r="E549" t="s">
        <v>14</v>
      </c>
      <c r="F549" t="s">
        <v>22</v>
      </c>
      <c r="G549" t="s">
        <v>32</v>
      </c>
      <c r="H549">
        <v>21</v>
      </c>
      <c r="I549">
        <v>1</v>
      </c>
      <c r="J549">
        <v>1</v>
      </c>
      <c r="K549" t="s">
        <v>127</v>
      </c>
      <c r="L549" t="s">
        <v>110</v>
      </c>
      <c r="M549" t="s">
        <v>118</v>
      </c>
      <c r="N549">
        <v>5</v>
      </c>
    </row>
    <row r="550" spans="2:14" x14ac:dyDescent="0.3">
      <c r="B550">
        <v>549</v>
      </c>
      <c r="C550" t="s">
        <v>435</v>
      </c>
      <c r="D550" t="s">
        <v>13</v>
      </c>
      <c r="E550" t="s">
        <v>16</v>
      </c>
      <c r="F550" t="s">
        <v>24</v>
      </c>
      <c r="G550" t="s">
        <v>33</v>
      </c>
      <c r="H550">
        <v>40</v>
      </c>
      <c r="I550">
        <v>1</v>
      </c>
      <c r="J550">
        <v>1</v>
      </c>
      <c r="K550" t="s">
        <v>127</v>
      </c>
      <c r="L550" t="s">
        <v>110</v>
      </c>
      <c r="M550" t="s">
        <v>118</v>
      </c>
      <c r="N550">
        <v>5</v>
      </c>
    </row>
    <row r="551" spans="2:14" x14ac:dyDescent="0.3">
      <c r="B551">
        <v>550</v>
      </c>
      <c r="C551" t="s">
        <v>436</v>
      </c>
      <c r="D551" t="s">
        <v>12</v>
      </c>
      <c r="E551" t="s">
        <v>14</v>
      </c>
      <c r="F551" t="s">
        <v>22</v>
      </c>
      <c r="G551" t="s">
        <v>32</v>
      </c>
      <c r="H551">
        <v>30</v>
      </c>
      <c r="I551">
        <v>1</v>
      </c>
      <c r="J551">
        <v>1</v>
      </c>
      <c r="K551" t="s">
        <v>127</v>
      </c>
      <c r="L551" t="s">
        <v>110</v>
      </c>
      <c r="M551" t="s">
        <v>118</v>
      </c>
      <c r="N551">
        <v>5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032A4-F55B-43E2-B95A-468BFC2E149B}">
  <sheetPr codeName="Planilha2"/>
  <dimension ref="B1:R63"/>
  <sheetViews>
    <sheetView topLeftCell="B10" zoomScale="67" workbookViewId="0">
      <selection activeCell="F35" sqref="F35"/>
    </sheetView>
  </sheetViews>
  <sheetFormatPr defaultRowHeight="14.4" x14ac:dyDescent="0.3"/>
  <cols>
    <col min="1" max="1" width="0" hidden="1" customWidth="1"/>
    <col min="2" max="2" width="18" bestFit="1" customWidth="1"/>
    <col min="3" max="3" width="15.6640625" bestFit="1" customWidth="1"/>
    <col min="4" max="4" width="16.5546875" bestFit="1" customWidth="1"/>
    <col min="5" max="5" width="11.33203125" bestFit="1" customWidth="1"/>
    <col min="6" max="6" width="19.88671875" bestFit="1" customWidth="1"/>
    <col min="7" max="7" width="2.6640625" customWidth="1"/>
    <col min="8" max="8" width="33.109375" bestFit="1" customWidth="1"/>
    <col min="9" max="9" width="19.88671875" bestFit="1" customWidth="1"/>
    <col min="10" max="10" width="7.5546875" bestFit="1" customWidth="1"/>
    <col min="11" max="11" width="11.21875" bestFit="1" customWidth="1"/>
    <col min="12" max="12" width="19.88671875" bestFit="1" customWidth="1"/>
    <col min="13" max="13" width="8.6640625" bestFit="1" customWidth="1"/>
    <col min="14" max="14" width="18" bestFit="1" customWidth="1"/>
    <col min="15" max="15" width="14.33203125" bestFit="1" customWidth="1"/>
    <col min="17" max="17" width="18" bestFit="1" customWidth="1"/>
    <col min="18" max="18" width="16.33203125" bestFit="1" customWidth="1"/>
  </cols>
  <sheetData>
    <row r="1" spans="2:18" x14ac:dyDescent="0.3">
      <c r="B1" s="32" t="s">
        <v>96</v>
      </c>
      <c r="C1" s="32"/>
      <c r="E1" s="34" t="s">
        <v>97</v>
      </c>
      <c r="F1" s="34"/>
      <c r="H1" s="34" t="s">
        <v>98</v>
      </c>
      <c r="I1" s="34"/>
      <c r="K1" s="34" t="s">
        <v>101</v>
      </c>
      <c r="L1" s="34"/>
      <c r="N1" s="34" t="s">
        <v>102</v>
      </c>
      <c r="O1" s="34"/>
      <c r="Q1" s="5" t="s">
        <v>93</v>
      </c>
      <c r="R1" t="s">
        <v>113</v>
      </c>
    </row>
    <row r="2" spans="2:18" x14ac:dyDescent="0.3">
      <c r="B2" s="5" t="s">
        <v>93</v>
      </c>
      <c r="C2" t="s">
        <v>95</v>
      </c>
      <c r="E2" s="8" t="s">
        <v>99</v>
      </c>
      <c r="F2" s="9" t="s">
        <v>104</v>
      </c>
      <c r="H2" s="8" t="s">
        <v>100</v>
      </c>
      <c r="I2" s="9" t="s">
        <v>104</v>
      </c>
      <c r="K2" s="8" t="s">
        <v>3</v>
      </c>
      <c r="L2" s="9" t="s">
        <v>104</v>
      </c>
      <c r="N2" s="8" t="s">
        <v>93</v>
      </c>
      <c r="O2" s="9" t="s">
        <v>104</v>
      </c>
      <c r="Q2" s="6" t="s">
        <v>109</v>
      </c>
      <c r="R2" s="7">
        <v>150</v>
      </c>
    </row>
    <row r="3" spans="2:18" x14ac:dyDescent="0.3">
      <c r="B3" s="6" t="s">
        <v>114</v>
      </c>
      <c r="C3" s="7">
        <v>165</v>
      </c>
      <c r="E3" s="10" t="s">
        <v>9</v>
      </c>
      <c r="F3" s="11">
        <v>143</v>
      </c>
      <c r="H3" s="10" t="s">
        <v>22</v>
      </c>
      <c r="I3" s="11">
        <v>173</v>
      </c>
      <c r="K3" s="10" t="s">
        <v>14</v>
      </c>
      <c r="L3" s="11">
        <v>194</v>
      </c>
      <c r="N3" s="10" t="s">
        <v>32</v>
      </c>
      <c r="O3" s="11">
        <v>248</v>
      </c>
      <c r="Q3" s="6" t="s">
        <v>110</v>
      </c>
      <c r="R3" s="7">
        <v>96</v>
      </c>
    </row>
    <row r="4" spans="2:18" x14ac:dyDescent="0.3">
      <c r="B4" s="6" t="s">
        <v>115</v>
      </c>
      <c r="C4" s="7">
        <v>131</v>
      </c>
      <c r="E4" s="10" t="s">
        <v>13</v>
      </c>
      <c r="F4" s="11">
        <v>106</v>
      </c>
      <c r="H4" s="10" t="s">
        <v>24</v>
      </c>
      <c r="I4" s="11">
        <v>135</v>
      </c>
      <c r="K4" s="10" t="s">
        <v>16</v>
      </c>
      <c r="L4" s="11">
        <v>151</v>
      </c>
      <c r="N4" s="10" t="s">
        <v>33</v>
      </c>
      <c r="O4" s="11">
        <v>197</v>
      </c>
      <c r="Q4" s="6" t="s">
        <v>111</v>
      </c>
      <c r="R4" s="7">
        <v>152</v>
      </c>
    </row>
    <row r="5" spans="2:18" x14ac:dyDescent="0.3">
      <c r="B5" s="6" t="s">
        <v>116</v>
      </c>
      <c r="C5" s="7">
        <v>157</v>
      </c>
      <c r="E5" s="10" t="s">
        <v>12</v>
      </c>
      <c r="F5" s="11">
        <v>103</v>
      </c>
      <c r="H5" s="10" t="s">
        <v>28</v>
      </c>
      <c r="I5" s="11">
        <v>77</v>
      </c>
      <c r="K5" s="10" t="s">
        <v>19</v>
      </c>
      <c r="L5" s="11">
        <v>77</v>
      </c>
      <c r="N5" s="10" t="s">
        <v>34</v>
      </c>
      <c r="O5" s="11">
        <v>93</v>
      </c>
      <c r="Q5" s="6" t="s">
        <v>112</v>
      </c>
      <c r="R5" s="7">
        <v>152</v>
      </c>
    </row>
    <row r="6" spans="2:18" x14ac:dyDescent="0.3">
      <c r="B6" s="6" t="s">
        <v>117</v>
      </c>
      <c r="C6" s="7">
        <v>123</v>
      </c>
      <c r="E6" s="10" t="s">
        <v>11</v>
      </c>
      <c r="F6" s="11">
        <v>99</v>
      </c>
      <c r="H6" s="10" t="s">
        <v>25</v>
      </c>
      <c r="I6" s="11">
        <v>23</v>
      </c>
      <c r="K6" s="10" t="s">
        <v>17</v>
      </c>
      <c r="L6" s="11">
        <v>35</v>
      </c>
      <c r="N6" s="10" t="s">
        <v>35</v>
      </c>
      <c r="O6" s="11">
        <v>12</v>
      </c>
      <c r="Q6" s="6" t="s">
        <v>94</v>
      </c>
      <c r="R6" s="7">
        <v>550</v>
      </c>
    </row>
    <row r="7" spans="2:18" x14ac:dyDescent="0.3">
      <c r="B7" s="6" t="s">
        <v>118</v>
      </c>
      <c r="C7" s="7">
        <v>85</v>
      </c>
      <c r="E7" s="10" t="s">
        <v>10</v>
      </c>
      <c r="F7" s="11">
        <v>99</v>
      </c>
      <c r="H7" s="10" t="s">
        <v>27</v>
      </c>
      <c r="I7" s="11">
        <v>21</v>
      </c>
      <c r="K7" s="10" t="s">
        <v>15</v>
      </c>
      <c r="L7" s="11">
        <v>30</v>
      </c>
      <c r="N7" s="10" t="s">
        <v>94</v>
      </c>
      <c r="O7" s="11">
        <v>550</v>
      </c>
    </row>
    <row r="8" spans="2:18" x14ac:dyDescent="0.3">
      <c r="B8" s="6" t="s">
        <v>119</v>
      </c>
      <c r="C8" s="7">
        <v>62</v>
      </c>
      <c r="E8" s="10" t="s">
        <v>94</v>
      </c>
      <c r="F8" s="11">
        <v>550</v>
      </c>
      <c r="H8" s="10" t="s">
        <v>23</v>
      </c>
      <c r="I8" s="11">
        <v>17</v>
      </c>
      <c r="K8" s="10" t="s">
        <v>18</v>
      </c>
      <c r="L8" s="11">
        <v>24</v>
      </c>
    </row>
    <row r="9" spans="2:18" x14ac:dyDescent="0.3">
      <c r="B9" s="6" t="s">
        <v>120</v>
      </c>
      <c r="C9" s="7">
        <v>124</v>
      </c>
      <c r="H9" s="10" t="s">
        <v>36</v>
      </c>
      <c r="I9" s="11">
        <v>16</v>
      </c>
      <c r="K9" s="10" t="s">
        <v>21</v>
      </c>
      <c r="L9" s="11">
        <v>14</v>
      </c>
      <c r="N9" s="33" t="s">
        <v>105</v>
      </c>
      <c r="O9" s="33"/>
    </row>
    <row r="10" spans="2:18" x14ac:dyDescent="0.3">
      <c r="B10" s="6" t="s">
        <v>121</v>
      </c>
      <c r="C10" s="7">
        <v>136</v>
      </c>
      <c r="H10" s="10" t="s">
        <v>30</v>
      </c>
      <c r="I10" s="11">
        <v>14</v>
      </c>
      <c r="K10" s="10" t="s">
        <v>37</v>
      </c>
      <c r="L10" s="11">
        <v>13</v>
      </c>
      <c r="N10" s="5" t="s">
        <v>93</v>
      </c>
      <c r="O10" t="s">
        <v>103</v>
      </c>
    </row>
    <row r="11" spans="2:18" x14ac:dyDescent="0.3">
      <c r="B11" s="6" t="s">
        <v>122</v>
      </c>
      <c r="C11" s="7">
        <v>114</v>
      </c>
      <c r="H11" s="10" t="s">
        <v>38</v>
      </c>
      <c r="I11" s="11">
        <v>13</v>
      </c>
      <c r="K11" s="10" t="s">
        <v>20</v>
      </c>
      <c r="L11" s="11">
        <v>12</v>
      </c>
      <c r="N11" s="6">
        <v>0</v>
      </c>
      <c r="O11" s="7">
        <v>104</v>
      </c>
    </row>
    <row r="12" spans="2:18" x14ac:dyDescent="0.3">
      <c r="B12" s="6" t="s">
        <v>123</v>
      </c>
      <c r="C12" s="7">
        <v>109</v>
      </c>
      <c r="H12" s="10" t="s">
        <v>40</v>
      </c>
      <c r="I12" s="11">
        <v>13</v>
      </c>
      <c r="K12" s="10" t="s">
        <v>94</v>
      </c>
      <c r="L12" s="11">
        <v>550</v>
      </c>
      <c r="N12" s="6">
        <v>1</v>
      </c>
      <c r="O12" s="7">
        <v>254</v>
      </c>
    </row>
    <row r="13" spans="2:18" x14ac:dyDescent="0.3">
      <c r="B13" s="6" t="s">
        <v>124</v>
      </c>
      <c r="C13" s="7">
        <v>108</v>
      </c>
      <c r="H13" s="10" t="s">
        <v>26</v>
      </c>
      <c r="I13" s="11">
        <v>13</v>
      </c>
      <c r="N13" s="6">
        <v>2</v>
      </c>
      <c r="O13" s="7">
        <v>127</v>
      </c>
    </row>
    <row r="14" spans="2:18" x14ac:dyDescent="0.3">
      <c r="B14" s="6" t="s">
        <v>125</v>
      </c>
      <c r="C14" s="7">
        <v>92</v>
      </c>
      <c r="H14" s="10" t="s">
        <v>29</v>
      </c>
      <c r="I14" s="11">
        <v>12</v>
      </c>
      <c r="N14" s="6">
        <v>3</v>
      </c>
      <c r="O14" s="7">
        <v>42</v>
      </c>
    </row>
    <row r="15" spans="2:18" x14ac:dyDescent="0.3">
      <c r="B15" s="6" t="s">
        <v>94</v>
      </c>
      <c r="C15" s="7">
        <v>1406</v>
      </c>
      <c r="H15" s="10" t="s">
        <v>39</v>
      </c>
      <c r="I15" s="11">
        <v>12</v>
      </c>
      <c r="N15" s="6">
        <v>4</v>
      </c>
      <c r="O15" s="7">
        <v>14</v>
      </c>
    </row>
    <row r="16" spans="2:18" x14ac:dyDescent="0.3">
      <c r="H16" s="10" t="s">
        <v>31</v>
      </c>
      <c r="I16" s="11">
        <v>11</v>
      </c>
      <c r="N16" s="6">
        <v>5</v>
      </c>
      <c r="O16" s="7">
        <v>7</v>
      </c>
    </row>
    <row r="17" spans="2:15" x14ac:dyDescent="0.3">
      <c r="H17" s="10" t="s">
        <v>94</v>
      </c>
      <c r="I17" s="11">
        <v>550</v>
      </c>
      <c r="N17" s="6">
        <v>6</v>
      </c>
      <c r="O17" s="7">
        <v>1</v>
      </c>
    </row>
    <row r="18" spans="2:15" x14ac:dyDescent="0.3">
      <c r="N18" s="6">
        <v>7</v>
      </c>
      <c r="O18" s="7">
        <v>1</v>
      </c>
    </row>
    <row r="19" spans="2:15" x14ac:dyDescent="0.3">
      <c r="N19" s="6" t="s">
        <v>94</v>
      </c>
      <c r="O19" s="7">
        <v>550</v>
      </c>
    </row>
    <row r="21" spans="2:15" x14ac:dyDescent="0.3">
      <c r="H21" s="13" t="s">
        <v>4</v>
      </c>
      <c r="I21" s="13" t="s">
        <v>106</v>
      </c>
      <c r="J21" s="13" t="s">
        <v>107</v>
      </c>
      <c r="K21" s="13" t="s">
        <v>108</v>
      </c>
      <c r="M21" s="7"/>
    </row>
    <row r="22" spans="2:15" x14ac:dyDescent="0.3">
      <c r="H22" s="9" t="str">
        <f>Auxiliar!H3</f>
        <v>Torque fora da especificação</v>
      </c>
      <c r="I22" s="9">
        <f>Auxiliar!I3</f>
        <v>173</v>
      </c>
      <c r="J22" s="12">
        <f>I22/$I$36</f>
        <v>0.31454545454545457</v>
      </c>
      <c r="K22" s="12">
        <f>J22</f>
        <v>0.31454545454545457</v>
      </c>
      <c r="L22" s="7"/>
      <c r="M22" s="7"/>
    </row>
    <row r="23" spans="2:15" x14ac:dyDescent="0.3">
      <c r="B23" s="5" t="s">
        <v>93</v>
      </c>
      <c r="C23" t="s">
        <v>95</v>
      </c>
      <c r="D23" t="s">
        <v>490</v>
      </c>
      <c r="H23" s="9" t="str">
        <f>Auxiliar!H4</f>
        <v>Falha na pintura</v>
      </c>
      <c r="I23" s="9">
        <f>Auxiliar!I4</f>
        <v>135</v>
      </c>
      <c r="J23" s="12">
        <f t="shared" ref="J23:J35" si="0">I23/$I$36</f>
        <v>0.24545454545454545</v>
      </c>
      <c r="K23" s="12">
        <f>K22+J23</f>
        <v>0.56000000000000005</v>
      </c>
      <c r="L23" s="7"/>
      <c r="M23" s="7"/>
    </row>
    <row r="24" spans="2:15" x14ac:dyDescent="0.3">
      <c r="B24" s="6" t="s">
        <v>114</v>
      </c>
      <c r="C24" s="7">
        <v>165</v>
      </c>
      <c r="D24" s="24">
        <v>3518</v>
      </c>
      <c r="H24" s="9" t="str">
        <f>Auxiliar!H5</f>
        <v>Falha na central multimídia</v>
      </c>
      <c r="I24" s="9">
        <f>Auxiliar!I5</f>
        <v>77</v>
      </c>
      <c r="J24" s="12">
        <f t="shared" si="0"/>
        <v>0.14000000000000001</v>
      </c>
      <c r="K24" s="12">
        <f t="shared" ref="K24:K35" si="1">K23+J24</f>
        <v>0.70000000000000007</v>
      </c>
      <c r="L24" s="7"/>
      <c r="M24" s="7"/>
    </row>
    <row r="25" spans="2:15" x14ac:dyDescent="0.3">
      <c r="B25" s="6" t="s">
        <v>115</v>
      </c>
      <c r="C25" s="7">
        <v>131</v>
      </c>
      <c r="D25" s="24">
        <v>3345</v>
      </c>
      <c r="H25" s="9" t="str">
        <f>Auxiliar!H6</f>
        <v>Ruído interno</v>
      </c>
      <c r="I25" s="9">
        <f>Auxiliar!I6</f>
        <v>23</v>
      </c>
      <c r="J25" s="12">
        <f t="shared" si="0"/>
        <v>4.1818181818181817E-2</v>
      </c>
      <c r="K25" s="12">
        <f t="shared" si="1"/>
        <v>0.74181818181818193</v>
      </c>
      <c r="L25" s="7"/>
      <c r="M25" s="7"/>
    </row>
    <row r="26" spans="2:15" x14ac:dyDescent="0.3">
      <c r="B26" s="6" t="s">
        <v>116</v>
      </c>
      <c r="C26" s="7">
        <v>157</v>
      </c>
      <c r="D26" s="24">
        <v>3440</v>
      </c>
      <c r="H26" s="9" t="str">
        <f>Auxiliar!H7</f>
        <v>Parafuso ausente</v>
      </c>
      <c r="I26" s="9">
        <f>Auxiliar!I7</f>
        <v>21</v>
      </c>
      <c r="J26" s="12">
        <f t="shared" si="0"/>
        <v>3.8181818181818185E-2</v>
      </c>
      <c r="K26" s="12">
        <f t="shared" si="1"/>
        <v>0.78000000000000014</v>
      </c>
      <c r="L26" s="7"/>
      <c r="M26" s="7"/>
    </row>
    <row r="27" spans="2:15" x14ac:dyDescent="0.3">
      <c r="B27" s="6" t="s">
        <v>117</v>
      </c>
      <c r="C27" s="7">
        <v>123</v>
      </c>
      <c r="D27" s="24">
        <v>2843</v>
      </c>
      <c r="H27" s="9" t="str">
        <f>Auxiliar!H8</f>
        <v>Falha no sensor ABS</v>
      </c>
      <c r="I27" s="9">
        <f>Auxiliar!I8</f>
        <v>17</v>
      </c>
      <c r="J27" s="12">
        <f t="shared" si="0"/>
        <v>3.090909090909091E-2</v>
      </c>
      <c r="K27" s="12">
        <f t="shared" si="1"/>
        <v>0.81090909090909102</v>
      </c>
      <c r="L27" s="7"/>
      <c r="M27" s="7"/>
    </row>
    <row r="28" spans="2:15" x14ac:dyDescent="0.3">
      <c r="B28" s="6" t="s">
        <v>118</v>
      </c>
      <c r="C28" s="7">
        <v>85</v>
      </c>
      <c r="D28" s="24">
        <v>1627</v>
      </c>
      <c r="H28" s="9" t="str">
        <f>Auxiliar!H9</f>
        <v>Risco na carroceria</v>
      </c>
      <c r="I28" s="9">
        <f>Auxiliar!I9</f>
        <v>16</v>
      </c>
      <c r="J28" s="12">
        <f t="shared" si="0"/>
        <v>2.9090909090909091E-2</v>
      </c>
      <c r="K28" s="12">
        <f t="shared" si="1"/>
        <v>0.84000000000000008</v>
      </c>
      <c r="L28" s="7"/>
      <c r="M28" s="7"/>
    </row>
    <row r="29" spans="2:15" x14ac:dyDescent="0.3">
      <c r="B29" s="6" t="s">
        <v>119</v>
      </c>
      <c r="C29" s="7">
        <v>62</v>
      </c>
      <c r="D29" s="24">
        <v>1408</v>
      </c>
      <c r="H29" s="9" t="str">
        <f>Auxiliar!H10</f>
        <v>Desalinhamento das portas</v>
      </c>
      <c r="I29" s="9">
        <f>Auxiliar!I10</f>
        <v>14</v>
      </c>
      <c r="J29" s="12">
        <f t="shared" si="0"/>
        <v>2.5454545454545455E-2</v>
      </c>
      <c r="K29" s="12">
        <f t="shared" si="1"/>
        <v>0.86545454545454559</v>
      </c>
      <c r="L29" s="7"/>
      <c r="M29" s="7"/>
    </row>
    <row r="30" spans="2:15" x14ac:dyDescent="0.3">
      <c r="B30" s="6" t="s">
        <v>120</v>
      </c>
      <c r="C30" s="7">
        <v>124</v>
      </c>
      <c r="D30" s="24">
        <v>3072</v>
      </c>
      <c r="H30" s="9" t="str">
        <f>Auxiliar!H11</f>
        <v>Ruído na suspensão</v>
      </c>
      <c r="I30" s="9">
        <f>Auxiliar!I11</f>
        <v>13</v>
      </c>
      <c r="J30" s="12">
        <f t="shared" si="0"/>
        <v>2.3636363636363636E-2</v>
      </c>
      <c r="K30" s="12">
        <f t="shared" si="1"/>
        <v>0.88909090909090926</v>
      </c>
      <c r="L30" s="7"/>
      <c r="M30" s="7"/>
    </row>
    <row r="31" spans="2:15" x14ac:dyDescent="0.3">
      <c r="B31" s="6" t="s">
        <v>121</v>
      </c>
      <c r="C31" s="7">
        <v>136</v>
      </c>
      <c r="D31" s="24">
        <v>3078</v>
      </c>
      <c r="H31" s="9" t="str">
        <f>Auxiliar!H12</f>
        <v>Falha no chicote elétrico</v>
      </c>
      <c r="I31" s="9">
        <f>Auxiliar!I12</f>
        <v>13</v>
      </c>
      <c r="J31" s="12">
        <f t="shared" si="0"/>
        <v>2.3636363636363636E-2</v>
      </c>
      <c r="K31" s="12">
        <f t="shared" si="1"/>
        <v>0.91272727272727294</v>
      </c>
      <c r="L31" s="7"/>
      <c r="M31" s="7"/>
    </row>
    <row r="32" spans="2:15" x14ac:dyDescent="0.3">
      <c r="B32" s="6" t="s">
        <v>122</v>
      </c>
      <c r="C32" s="7">
        <v>114</v>
      </c>
      <c r="D32" s="24">
        <v>3112</v>
      </c>
      <c r="H32" s="9" t="str">
        <f>Auxiliar!H13</f>
        <v>Vazamento de óleo</v>
      </c>
      <c r="I32" s="9">
        <f>Auxiliar!I13</f>
        <v>13</v>
      </c>
      <c r="J32" s="12">
        <f t="shared" si="0"/>
        <v>2.3636363636363636E-2</v>
      </c>
      <c r="K32" s="12">
        <f t="shared" si="1"/>
        <v>0.93636363636363662</v>
      </c>
      <c r="L32" s="7"/>
      <c r="M32" s="7"/>
    </row>
    <row r="33" spans="2:13" x14ac:dyDescent="0.3">
      <c r="B33" s="6" t="s">
        <v>123</v>
      </c>
      <c r="C33" s="7">
        <v>109</v>
      </c>
      <c r="D33" s="24">
        <v>3433</v>
      </c>
      <c r="H33" s="9" t="str">
        <f>Auxiliar!H14</f>
        <v>Airbag com falha de comunicação</v>
      </c>
      <c r="I33" s="9">
        <f>Auxiliar!I14</f>
        <v>12</v>
      </c>
      <c r="J33" s="12">
        <f t="shared" si="0"/>
        <v>2.181818181818182E-2</v>
      </c>
      <c r="K33" s="12">
        <f t="shared" si="1"/>
        <v>0.95818181818181847</v>
      </c>
      <c r="L33" s="7"/>
      <c r="M33" s="7"/>
    </row>
    <row r="34" spans="2:13" x14ac:dyDescent="0.3">
      <c r="B34" s="6" t="s">
        <v>124</v>
      </c>
      <c r="C34" s="7">
        <v>108</v>
      </c>
      <c r="D34" s="24">
        <v>3184</v>
      </c>
      <c r="H34" s="9" t="str">
        <f>Auxiliar!H15</f>
        <v>Falha na vedação</v>
      </c>
      <c r="I34" s="9">
        <f>Auxiliar!I15</f>
        <v>12</v>
      </c>
      <c r="J34" s="12">
        <f t="shared" si="0"/>
        <v>2.181818181818182E-2</v>
      </c>
      <c r="K34" s="12">
        <f t="shared" si="1"/>
        <v>0.98000000000000032</v>
      </c>
      <c r="L34" s="7"/>
      <c r="M34" s="7"/>
    </row>
    <row r="35" spans="2:13" x14ac:dyDescent="0.3">
      <c r="B35" s="6" t="s">
        <v>125</v>
      </c>
      <c r="C35" s="7">
        <v>92</v>
      </c>
      <c r="D35" s="24">
        <v>3152</v>
      </c>
      <c r="F35" s="40">
        <f>C36/D36</f>
        <v>3.9929569464955128E-2</v>
      </c>
      <c r="H35" s="9" t="str">
        <f>Auxiliar!H16</f>
        <v>Vazamento de líquido de arrefecimento</v>
      </c>
      <c r="I35" s="9">
        <f>Auxiliar!I16</f>
        <v>11</v>
      </c>
      <c r="J35" s="12">
        <f t="shared" si="0"/>
        <v>0.02</v>
      </c>
      <c r="K35" s="12">
        <f t="shared" si="1"/>
        <v>1.0000000000000002</v>
      </c>
      <c r="L35" s="7"/>
      <c r="M35" s="7"/>
    </row>
    <row r="36" spans="2:13" x14ac:dyDescent="0.3">
      <c r="B36" s="6" t="s">
        <v>94</v>
      </c>
      <c r="C36" s="7">
        <v>1406</v>
      </c>
      <c r="D36" s="24">
        <v>35212</v>
      </c>
      <c r="I36">
        <f>SUM(I22:I35)</f>
        <v>550</v>
      </c>
    </row>
    <row r="38" spans="2:13" x14ac:dyDescent="0.3">
      <c r="H38" s="13" t="s">
        <v>6</v>
      </c>
      <c r="I38" s="13" t="s">
        <v>7</v>
      </c>
    </row>
    <row r="39" spans="2:13" x14ac:dyDescent="0.3">
      <c r="H39" s="25">
        <f>Auxiliar!D24</f>
        <v>3518</v>
      </c>
      <c r="I39" s="9">
        <f>Auxiliar!C24</f>
        <v>165</v>
      </c>
    </row>
    <row r="40" spans="2:13" x14ac:dyDescent="0.3">
      <c r="H40" s="25">
        <f>Auxiliar!D25</f>
        <v>3345</v>
      </c>
      <c r="I40" s="9">
        <f>Auxiliar!C25</f>
        <v>131</v>
      </c>
    </row>
    <row r="41" spans="2:13" x14ac:dyDescent="0.3">
      <c r="B41" s="5" t="s">
        <v>93</v>
      </c>
      <c r="C41" t="s">
        <v>489</v>
      </c>
      <c r="D41" t="s">
        <v>95</v>
      </c>
      <c r="H41" s="25">
        <f>Auxiliar!D26</f>
        <v>3440</v>
      </c>
      <c r="I41" s="9">
        <f>Auxiliar!C26</f>
        <v>157</v>
      </c>
    </row>
    <row r="42" spans="2:13" x14ac:dyDescent="0.3">
      <c r="B42" s="6" t="s">
        <v>114</v>
      </c>
      <c r="C42" s="7">
        <v>92</v>
      </c>
      <c r="D42" s="7">
        <v>165</v>
      </c>
      <c r="F42" t="s">
        <v>491</v>
      </c>
      <c r="H42" s="25">
        <f>Auxiliar!D27</f>
        <v>2843</v>
      </c>
      <c r="I42" s="9">
        <f>Auxiliar!C27</f>
        <v>123</v>
      </c>
    </row>
    <row r="43" spans="2:13" x14ac:dyDescent="0.3">
      <c r="B43" s="6" t="s">
        <v>115</v>
      </c>
      <c r="C43" s="7">
        <v>72</v>
      </c>
      <c r="D43" s="7">
        <v>131</v>
      </c>
      <c r="H43" s="25">
        <f>Auxiliar!D28</f>
        <v>1627</v>
      </c>
      <c r="I43" s="9">
        <f>Auxiliar!C28</f>
        <v>85</v>
      </c>
    </row>
    <row r="44" spans="2:13" x14ac:dyDescent="0.3">
      <c r="B44" s="6" t="s">
        <v>116</v>
      </c>
      <c r="C44" s="7">
        <v>86</v>
      </c>
      <c r="D44" s="7">
        <v>157</v>
      </c>
      <c r="H44" s="25">
        <f>Auxiliar!D29</f>
        <v>1408</v>
      </c>
      <c r="I44" s="9">
        <f>Auxiliar!C29</f>
        <v>62</v>
      </c>
    </row>
    <row r="45" spans="2:13" x14ac:dyDescent="0.3">
      <c r="B45" s="6" t="s">
        <v>117</v>
      </c>
      <c r="C45" s="7">
        <v>70</v>
      </c>
      <c r="D45" s="7">
        <v>123</v>
      </c>
      <c r="H45" s="25">
        <f>Auxiliar!D30</f>
        <v>3072</v>
      </c>
      <c r="I45" s="9">
        <f>Auxiliar!C30</f>
        <v>124</v>
      </c>
    </row>
    <row r="46" spans="2:13" x14ac:dyDescent="0.3">
      <c r="B46" s="6" t="s">
        <v>118</v>
      </c>
      <c r="C46" s="7">
        <v>36</v>
      </c>
      <c r="D46" s="7">
        <v>85</v>
      </c>
      <c r="H46" s="25">
        <f>Auxiliar!D31</f>
        <v>3078</v>
      </c>
      <c r="I46" s="9">
        <f>Auxiliar!C31</f>
        <v>136</v>
      </c>
    </row>
    <row r="47" spans="2:13" x14ac:dyDescent="0.3">
      <c r="B47" s="6" t="s">
        <v>119</v>
      </c>
      <c r="C47" s="7">
        <v>24</v>
      </c>
      <c r="D47" s="7">
        <v>62</v>
      </c>
      <c r="H47" s="25">
        <f>Auxiliar!D32</f>
        <v>3112</v>
      </c>
      <c r="I47" s="9">
        <f>Auxiliar!C32</f>
        <v>114</v>
      </c>
    </row>
    <row r="48" spans="2:13" x14ac:dyDescent="0.3">
      <c r="B48" s="6" t="s">
        <v>120</v>
      </c>
      <c r="C48" s="7">
        <v>56</v>
      </c>
      <c r="D48" s="7">
        <v>124</v>
      </c>
      <c r="H48" s="25">
        <f>Auxiliar!D33</f>
        <v>3433</v>
      </c>
      <c r="I48" s="9">
        <f>Auxiliar!C33</f>
        <v>109</v>
      </c>
    </row>
    <row r="49" spans="2:9" x14ac:dyDescent="0.3">
      <c r="B49" s="6" t="s">
        <v>121</v>
      </c>
      <c r="C49" s="7">
        <v>58</v>
      </c>
      <c r="D49" s="7">
        <v>136</v>
      </c>
      <c r="H49" s="25">
        <f>Auxiliar!D34</f>
        <v>3184</v>
      </c>
      <c r="I49" s="9">
        <f>Auxiliar!C34</f>
        <v>108</v>
      </c>
    </row>
    <row r="50" spans="2:9" x14ac:dyDescent="0.3">
      <c r="B50" s="6" t="s">
        <v>122</v>
      </c>
      <c r="C50" s="7">
        <v>59</v>
      </c>
      <c r="D50" s="7">
        <v>114</v>
      </c>
      <c r="H50" s="25">
        <f>Auxiliar!D35</f>
        <v>3152</v>
      </c>
      <c r="I50" s="9">
        <f>Auxiliar!C35</f>
        <v>92</v>
      </c>
    </row>
    <row r="51" spans="2:9" x14ac:dyDescent="0.3">
      <c r="B51" s="6" t="s">
        <v>123</v>
      </c>
      <c r="C51" s="7">
        <v>48</v>
      </c>
      <c r="D51" s="7">
        <v>109</v>
      </c>
      <c r="H51" s="23"/>
      <c r="I51" s="23"/>
    </row>
    <row r="52" spans="2:9" x14ac:dyDescent="0.3">
      <c r="B52" s="6" t="s">
        <v>124</v>
      </c>
      <c r="C52" s="7">
        <v>61</v>
      </c>
      <c r="D52" s="7">
        <v>108</v>
      </c>
      <c r="G52" s="23"/>
      <c r="H52" s="13" t="s">
        <v>7</v>
      </c>
      <c r="I52" s="13" t="s">
        <v>105</v>
      </c>
    </row>
    <row r="53" spans="2:9" x14ac:dyDescent="0.3">
      <c r="B53" s="6" t="s">
        <v>125</v>
      </c>
      <c r="C53" s="7">
        <v>76</v>
      </c>
      <c r="D53" s="7">
        <v>92</v>
      </c>
      <c r="G53" s="23"/>
      <c r="H53" s="9">
        <f>Auxiliar!D42</f>
        <v>165</v>
      </c>
      <c r="I53" s="9">
        <f>Auxiliar!C42</f>
        <v>92</v>
      </c>
    </row>
    <row r="54" spans="2:9" x14ac:dyDescent="0.3">
      <c r="B54" s="6" t="s">
        <v>94</v>
      </c>
      <c r="C54" s="7">
        <v>738</v>
      </c>
      <c r="D54" s="7">
        <v>1406</v>
      </c>
      <c r="G54" s="23"/>
      <c r="H54" s="9">
        <f>Auxiliar!D43</f>
        <v>131</v>
      </c>
      <c r="I54" s="9">
        <f>Auxiliar!C43</f>
        <v>72</v>
      </c>
    </row>
    <row r="55" spans="2:9" x14ac:dyDescent="0.3">
      <c r="G55" s="23"/>
      <c r="H55" s="9">
        <f>Auxiliar!D44</f>
        <v>157</v>
      </c>
      <c r="I55" s="9">
        <f>Auxiliar!C44</f>
        <v>86</v>
      </c>
    </row>
    <row r="56" spans="2:9" x14ac:dyDescent="0.3">
      <c r="G56" s="23"/>
      <c r="H56" s="9">
        <f>Auxiliar!D45</f>
        <v>123</v>
      </c>
      <c r="I56" s="9">
        <f>Auxiliar!C45</f>
        <v>70</v>
      </c>
    </row>
    <row r="57" spans="2:9" x14ac:dyDescent="0.3">
      <c r="G57" s="23"/>
      <c r="H57" s="9">
        <f>Auxiliar!D46</f>
        <v>85</v>
      </c>
      <c r="I57" s="9">
        <f>Auxiliar!C46</f>
        <v>36</v>
      </c>
    </row>
    <row r="58" spans="2:9" x14ac:dyDescent="0.3">
      <c r="G58" s="23"/>
      <c r="H58" s="9">
        <f>Auxiliar!D47</f>
        <v>62</v>
      </c>
      <c r="I58" s="9">
        <f>Auxiliar!C47</f>
        <v>24</v>
      </c>
    </row>
    <row r="59" spans="2:9" x14ac:dyDescent="0.3">
      <c r="H59" s="9">
        <f>Auxiliar!D48</f>
        <v>124</v>
      </c>
      <c r="I59" s="9">
        <f>Auxiliar!C48</f>
        <v>56</v>
      </c>
    </row>
    <row r="60" spans="2:9" x14ac:dyDescent="0.3">
      <c r="H60" s="9">
        <f>Auxiliar!D49</f>
        <v>136</v>
      </c>
      <c r="I60" s="9">
        <f>Auxiliar!C49</f>
        <v>58</v>
      </c>
    </row>
    <row r="61" spans="2:9" x14ac:dyDescent="0.3">
      <c r="H61" s="9">
        <f>Auxiliar!D50</f>
        <v>114</v>
      </c>
      <c r="I61" s="9">
        <f>Auxiliar!C50</f>
        <v>59</v>
      </c>
    </row>
    <row r="62" spans="2:9" x14ac:dyDescent="0.3">
      <c r="H62" s="9">
        <f>Auxiliar!D51</f>
        <v>109</v>
      </c>
      <c r="I62" s="9">
        <f>Auxiliar!C51</f>
        <v>48</v>
      </c>
    </row>
    <row r="63" spans="2:9" x14ac:dyDescent="0.3">
      <c r="H63" s="9">
        <f>Auxiliar!D52</f>
        <v>108</v>
      </c>
      <c r="I63" s="9">
        <f>Auxiliar!C52</f>
        <v>61</v>
      </c>
    </row>
  </sheetData>
  <mergeCells count="6">
    <mergeCell ref="B1:C1"/>
    <mergeCell ref="N9:O9"/>
    <mergeCell ref="E1:F1"/>
    <mergeCell ref="H1:I1"/>
    <mergeCell ref="K1:L1"/>
    <mergeCell ref="N1:O1"/>
  </mergeCells>
  <pageMargins left="0.511811024" right="0.511811024" top="0.78740157499999996" bottom="0.78740157499999996" header="0.31496062000000002" footer="0.31496062000000002"/>
  <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FAC2F-58E0-47B8-B2D3-571396DDF7EC}">
  <sheetPr codeName="Planilha3"/>
  <dimension ref="A1"/>
  <sheetViews>
    <sheetView showRowColHeaders="0" tabSelected="1" zoomScale="70" zoomScaleNormal="70" workbookViewId="0">
      <selection activeCell="AB13" sqref="AB13"/>
    </sheetView>
  </sheetViews>
  <sheetFormatPr defaultRowHeight="14.4" x14ac:dyDescent="0.3"/>
  <cols>
    <col min="1" max="16384" width="8.88671875" style="14"/>
  </cols>
  <sheetData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6E03F-5B79-45AF-87D0-D25C72DBDEF8}">
  <sheetPr codeName="Planilha4"/>
  <dimension ref="A1"/>
  <sheetViews>
    <sheetView zoomScale="70" zoomScaleNormal="70" workbookViewId="0">
      <selection activeCell="Z19" sqref="Z19"/>
    </sheetView>
  </sheetViews>
  <sheetFormatPr defaultRowHeight="14.4" x14ac:dyDescent="0.3"/>
  <cols>
    <col min="1" max="16384" width="8.88671875" style="14"/>
  </cols>
  <sheetData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8B2DB-6E1B-4CF6-BF03-B80AA7536616}">
  <sheetPr codeName="Planilha5"/>
  <dimension ref="P5:Q10"/>
  <sheetViews>
    <sheetView workbookViewId="0">
      <selection activeCell="Q14" sqref="Q14"/>
    </sheetView>
  </sheetViews>
  <sheetFormatPr defaultRowHeight="14.4" x14ac:dyDescent="0.3"/>
  <cols>
    <col min="1" max="15" width="8.88671875" style="18"/>
    <col min="16" max="16" width="9.77734375" style="18" bestFit="1" customWidth="1"/>
    <col min="17" max="17" width="57.88671875" style="18" bestFit="1" customWidth="1"/>
    <col min="18" max="16384" width="8.88671875" style="18"/>
  </cols>
  <sheetData>
    <row r="5" spans="16:17" x14ac:dyDescent="0.3">
      <c r="P5" s="30" t="s">
        <v>492</v>
      </c>
      <c r="Q5" s="39" t="s">
        <v>493</v>
      </c>
    </row>
    <row r="6" spans="16:17" x14ac:dyDescent="0.3">
      <c r="P6" s="31" t="s">
        <v>32</v>
      </c>
      <c r="Q6" s="29" t="s">
        <v>494</v>
      </c>
    </row>
    <row r="7" spans="16:17" x14ac:dyDescent="0.3">
      <c r="P7" s="31" t="s">
        <v>32</v>
      </c>
      <c r="Q7" s="29" t="s">
        <v>495</v>
      </c>
    </row>
    <row r="8" spans="16:17" x14ac:dyDescent="0.3">
      <c r="P8" s="31" t="s">
        <v>33</v>
      </c>
      <c r="Q8" s="29" t="s">
        <v>496</v>
      </c>
    </row>
    <row r="9" spans="16:17" x14ac:dyDescent="0.3">
      <c r="P9" s="31" t="s">
        <v>33</v>
      </c>
      <c r="Q9" s="29" t="s">
        <v>497</v>
      </c>
    </row>
    <row r="10" spans="16:17" x14ac:dyDescent="0.3">
      <c r="P10" s="31" t="s">
        <v>33</v>
      </c>
      <c r="Q10" s="29" t="s">
        <v>498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C82A-2D16-428F-A1B3-826ED59FAC99}">
  <dimension ref="A1"/>
  <sheetViews>
    <sheetView topLeftCell="A55" workbookViewId="0">
      <selection activeCell="L46" sqref="L46"/>
    </sheetView>
  </sheetViews>
  <sheetFormatPr defaultRowHeight="14.4" x14ac:dyDescent="0.3"/>
  <cols>
    <col min="1" max="16384" width="8.88671875" style="14"/>
  </cols>
  <sheetData/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97FD7-E9F5-42E6-AC24-FDEEFAB15C2C}">
  <sheetPr codeName="Planilha6"/>
  <dimension ref="L3:L61"/>
  <sheetViews>
    <sheetView showGridLines="0" zoomScale="56" zoomScaleNormal="85" workbookViewId="0">
      <selection activeCell="L25" sqref="L25"/>
    </sheetView>
  </sheetViews>
  <sheetFormatPr defaultRowHeight="14.4" x14ac:dyDescent="0.3"/>
  <cols>
    <col min="1" max="2" width="8.88671875" style="18"/>
    <col min="3" max="3" width="8.88671875" style="18" customWidth="1"/>
    <col min="4" max="11" width="8.88671875" style="18"/>
    <col min="12" max="12" width="105.88671875" style="18" bestFit="1" customWidth="1"/>
    <col min="13" max="13" width="8.88671875" style="18"/>
    <col min="14" max="14" width="11.109375" style="18" customWidth="1"/>
    <col min="15" max="15" width="11.77734375" style="18" customWidth="1"/>
    <col min="16" max="16" width="10.33203125" style="18" customWidth="1"/>
    <col min="17" max="16384" width="8.88671875" style="18"/>
  </cols>
  <sheetData>
    <row r="3" spans="12:12" x14ac:dyDescent="0.3">
      <c r="L3" s="19" t="s">
        <v>446</v>
      </c>
    </row>
    <row r="4" spans="12:12" x14ac:dyDescent="0.3">
      <c r="L4" s="20" t="s">
        <v>437</v>
      </c>
    </row>
    <row r="5" spans="12:12" x14ac:dyDescent="0.3">
      <c r="L5" s="20" t="s">
        <v>439</v>
      </c>
    </row>
    <row r="6" spans="12:12" x14ac:dyDescent="0.3">
      <c r="L6" s="17" t="s">
        <v>438</v>
      </c>
    </row>
    <row r="7" spans="12:12" x14ac:dyDescent="0.3">
      <c r="L7" s="20" t="s">
        <v>439</v>
      </c>
    </row>
    <row r="8" spans="12:12" x14ac:dyDescent="0.3">
      <c r="L8" s="17" t="s">
        <v>442</v>
      </c>
    </row>
    <row r="9" spans="12:12" x14ac:dyDescent="0.3">
      <c r="L9" s="20" t="s">
        <v>439</v>
      </c>
    </row>
    <row r="10" spans="12:12" x14ac:dyDescent="0.3">
      <c r="L10" s="17" t="s">
        <v>440</v>
      </c>
    </row>
    <row r="11" spans="12:12" x14ac:dyDescent="0.3">
      <c r="L11" s="20" t="s">
        <v>439</v>
      </c>
    </row>
    <row r="12" spans="12:12" x14ac:dyDescent="0.3">
      <c r="L12" s="17" t="s">
        <v>441</v>
      </c>
    </row>
    <row r="13" spans="12:12" x14ac:dyDescent="0.3">
      <c r="L13" s="20" t="s">
        <v>439</v>
      </c>
    </row>
    <row r="14" spans="12:12" x14ac:dyDescent="0.3">
      <c r="L14" s="17" t="s">
        <v>443</v>
      </c>
    </row>
    <row r="15" spans="12:12" x14ac:dyDescent="0.3">
      <c r="L15" s="20" t="s">
        <v>444</v>
      </c>
    </row>
    <row r="16" spans="12:12" x14ac:dyDescent="0.3">
      <c r="L16" s="15" t="s">
        <v>445</v>
      </c>
    </row>
    <row r="25" spans="12:12" x14ac:dyDescent="0.3">
      <c r="L25" s="19" t="s">
        <v>446</v>
      </c>
    </row>
    <row r="26" spans="12:12" x14ac:dyDescent="0.3">
      <c r="L26" s="20" t="s">
        <v>454</v>
      </c>
    </row>
    <row r="27" spans="12:12" x14ac:dyDescent="0.3">
      <c r="L27" s="20" t="s">
        <v>439</v>
      </c>
    </row>
    <row r="28" spans="12:12" x14ac:dyDescent="0.3">
      <c r="L28" s="21" t="s">
        <v>455</v>
      </c>
    </row>
    <row r="29" spans="12:12" x14ac:dyDescent="0.3">
      <c r="L29" s="20" t="s">
        <v>439</v>
      </c>
    </row>
    <row r="30" spans="12:12" x14ac:dyDescent="0.3">
      <c r="L30" s="21" t="s">
        <v>456</v>
      </c>
    </row>
    <row r="31" spans="12:12" x14ac:dyDescent="0.3">
      <c r="L31" s="20" t="s">
        <v>439</v>
      </c>
    </row>
    <row r="32" spans="12:12" x14ac:dyDescent="0.3">
      <c r="L32" s="21" t="s">
        <v>457</v>
      </c>
    </row>
    <row r="33" spans="12:12" x14ac:dyDescent="0.3">
      <c r="L33" s="20" t="s">
        <v>439</v>
      </c>
    </row>
    <row r="34" spans="12:12" x14ac:dyDescent="0.3">
      <c r="L34" s="21" t="s">
        <v>458</v>
      </c>
    </row>
    <row r="35" spans="12:12" x14ac:dyDescent="0.3">
      <c r="L35" s="20" t="s">
        <v>439</v>
      </c>
    </row>
    <row r="36" spans="12:12" x14ac:dyDescent="0.3">
      <c r="L36" s="21" t="s">
        <v>459</v>
      </c>
    </row>
    <row r="37" spans="12:12" x14ac:dyDescent="0.3">
      <c r="L37" s="20" t="s">
        <v>444</v>
      </c>
    </row>
    <row r="38" spans="12:12" x14ac:dyDescent="0.3">
      <c r="L38" s="16" t="s">
        <v>460</v>
      </c>
    </row>
    <row r="48" spans="12:12" x14ac:dyDescent="0.3">
      <c r="L48" s="19" t="s">
        <v>446</v>
      </c>
    </row>
    <row r="49" spans="12:12" x14ac:dyDescent="0.3">
      <c r="L49" s="22" t="s">
        <v>468</v>
      </c>
    </row>
    <row r="50" spans="12:12" x14ac:dyDescent="0.3">
      <c r="L50" s="20" t="s">
        <v>439</v>
      </c>
    </row>
    <row r="51" spans="12:12" x14ac:dyDescent="0.3">
      <c r="L51" s="21" t="s">
        <v>469</v>
      </c>
    </row>
    <row r="52" spans="12:12" x14ac:dyDescent="0.3">
      <c r="L52" s="20" t="s">
        <v>439</v>
      </c>
    </row>
    <row r="53" spans="12:12" x14ac:dyDescent="0.3">
      <c r="L53" s="21" t="s">
        <v>470</v>
      </c>
    </row>
    <row r="54" spans="12:12" x14ac:dyDescent="0.3">
      <c r="L54" s="20" t="s">
        <v>439</v>
      </c>
    </row>
    <row r="55" spans="12:12" x14ac:dyDescent="0.3">
      <c r="L55" s="21" t="s">
        <v>471</v>
      </c>
    </row>
    <row r="56" spans="12:12" x14ac:dyDescent="0.3">
      <c r="L56" s="20" t="s">
        <v>439</v>
      </c>
    </row>
    <row r="57" spans="12:12" x14ac:dyDescent="0.3">
      <c r="L57" s="21" t="s">
        <v>472</v>
      </c>
    </row>
    <row r="58" spans="12:12" x14ac:dyDescent="0.3">
      <c r="L58" s="20" t="s">
        <v>439</v>
      </c>
    </row>
    <row r="59" spans="12:12" x14ac:dyDescent="0.3">
      <c r="L59" s="21" t="s">
        <v>473</v>
      </c>
    </row>
    <row r="60" spans="12:12" x14ac:dyDescent="0.3">
      <c r="L60" s="20" t="s">
        <v>444</v>
      </c>
    </row>
    <row r="61" spans="12:12" x14ac:dyDescent="0.3">
      <c r="L61" s="16" t="s">
        <v>474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FF5B2-B82B-4636-B667-148B635F24D9}">
  <sheetPr codeName="Planilha7"/>
  <dimension ref="A1:G11"/>
  <sheetViews>
    <sheetView zoomScale="66" workbookViewId="0">
      <selection activeCell="D21" sqref="D21"/>
    </sheetView>
  </sheetViews>
  <sheetFormatPr defaultRowHeight="14.4" x14ac:dyDescent="0.3"/>
  <cols>
    <col min="1" max="1" width="35.44140625" style="18" bestFit="1" customWidth="1"/>
    <col min="2" max="2" width="23.77734375" style="18" bestFit="1" customWidth="1"/>
    <col min="3" max="3" width="17.33203125" style="18" bestFit="1" customWidth="1"/>
    <col min="4" max="4" width="13.109375" style="18" bestFit="1" customWidth="1"/>
    <col min="5" max="5" width="21.44140625" style="18" bestFit="1" customWidth="1"/>
    <col min="6" max="6" width="36.109375" style="18" bestFit="1" customWidth="1"/>
    <col min="7" max="7" width="21" style="18" bestFit="1" customWidth="1"/>
    <col min="8" max="16384" width="8.88671875" style="18"/>
  </cols>
  <sheetData>
    <row r="1" spans="1:7" x14ac:dyDescent="0.3">
      <c r="A1" s="35" t="s">
        <v>445</v>
      </c>
      <c r="B1" s="36"/>
      <c r="C1" s="36"/>
      <c r="D1" s="36"/>
      <c r="E1" s="36"/>
      <c r="F1" s="36"/>
      <c r="G1" s="36"/>
    </row>
    <row r="2" spans="1:7" x14ac:dyDescent="0.3">
      <c r="A2" s="29" t="s">
        <v>482</v>
      </c>
      <c r="B2" s="29" t="s">
        <v>483</v>
      </c>
      <c r="C2" s="29" t="s">
        <v>484</v>
      </c>
      <c r="D2" s="29" t="s">
        <v>485</v>
      </c>
      <c r="E2" s="29" t="s">
        <v>486</v>
      </c>
      <c r="F2" s="29" t="s">
        <v>487</v>
      </c>
      <c r="G2" s="29" t="s">
        <v>488</v>
      </c>
    </row>
    <row r="3" spans="1:7" ht="43.2" x14ac:dyDescent="0.3">
      <c r="A3" s="27" t="s">
        <v>451</v>
      </c>
      <c r="B3" s="27" t="s">
        <v>450</v>
      </c>
      <c r="C3" s="17" t="s">
        <v>447</v>
      </c>
      <c r="D3" s="17" t="s">
        <v>448</v>
      </c>
      <c r="E3" s="27" t="s">
        <v>452</v>
      </c>
      <c r="F3" s="27" t="s">
        <v>449</v>
      </c>
      <c r="G3" s="28" t="s">
        <v>453</v>
      </c>
    </row>
    <row r="5" spans="1:7" x14ac:dyDescent="0.3">
      <c r="A5" s="37" t="s">
        <v>460</v>
      </c>
      <c r="B5" s="38"/>
      <c r="C5" s="38"/>
      <c r="D5" s="38"/>
      <c r="E5" s="38"/>
      <c r="F5" s="38"/>
      <c r="G5" s="38"/>
    </row>
    <row r="6" spans="1:7" x14ac:dyDescent="0.3">
      <c r="A6" s="29" t="s">
        <v>482</v>
      </c>
      <c r="B6" s="29" t="s">
        <v>483</v>
      </c>
      <c r="C6" s="29" t="s">
        <v>484</v>
      </c>
      <c r="D6" s="29" t="s">
        <v>485</v>
      </c>
      <c r="E6" s="29" t="s">
        <v>486</v>
      </c>
      <c r="F6" s="29" t="s">
        <v>487</v>
      </c>
      <c r="G6" s="29" t="s">
        <v>488</v>
      </c>
    </row>
    <row r="7" spans="1:7" ht="57.6" x14ac:dyDescent="0.3">
      <c r="A7" s="27" t="s">
        <v>461</v>
      </c>
      <c r="B7" s="27" t="s">
        <v>462</v>
      </c>
      <c r="C7" s="17" t="s">
        <v>463</v>
      </c>
      <c r="D7" s="17" t="s">
        <v>464</v>
      </c>
      <c r="E7" s="27" t="s">
        <v>465</v>
      </c>
      <c r="F7" s="27" t="s">
        <v>466</v>
      </c>
      <c r="G7" s="28" t="s">
        <v>467</v>
      </c>
    </row>
    <row r="9" spans="1:7" x14ac:dyDescent="0.3">
      <c r="A9" s="37" t="s">
        <v>474</v>
      </c>
      <c r="B9" s="38"/>
      <c r="C9" s="38"/>
      <c r="D9" s="38"/>
      <c r="E9" s="38"/>
      <c r="F9" s="38"/>
      <c r="G9" s="38"/>
    </row>
    <row r="10" spans="1:7" x14ac:dyDescent="0.3">
      <c r="A10" s="29" t="s">
        <v>482</v>
      </c>
      <c r="B10" s="29" t="s">
        <v>483</v>
      </c>
      <c r="C10" s="29" t="s">
        <v>484</v>
      </c>
      <c r="D10" s="29" t="s">
        <v>485</v>
      </c>
      <c r="E10" s="29" t="s">
        <v>486</v>
      </c>
      <c r="F10" s="29" t="s">
        <v>487</v>
      </c>
      <c r="G10" s="29" t="s">
        <v>488</v>
      </c>
    </row>
    <row r="11" spans="1:7" ht="72" x14ac:dyDescent="0.3">
      <c r="A11" s="27" t="s">
        <v>475</v>
      </c>
      <c r="B11" s="27" t="s">
        <v>476</v>
      </c>
      <c r="C11" s="27" t="s">
        <v>477</v>
      </c>
      <c r="D11" s="17" t="s">
        <v>478</v>
      </c>
      <c r="E11" s="27" t="s">
        <v>479</v>
      </c>
      <c r="F11" s="27" t="s">
        <v>480</v>
      </c>
      <c r="G11" s="28" t="s">
        <v>481</v>
      </c>
    </row>
  </sheetData>
  <mergeCells count="3">
    <mergeCell ref="A1:G1"/>
    <mergeCell ref="A5:G5"/>
    <mergeCell ref="A9:G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Base de Dados</vt:lpstr>
      <vt:lpstr>Auxiliar</vt:lpstr>
      <vt:lpstr>Dashboard Geral</vt:lpstr>
      <vt:lpstr>Dispersão</vt:lpstr>
      <vt:lpstr>Insights</vt:lpstr>
      <vt:lpstr>Planilha4</vt:lpstr>
      <vt:lpstr>Ishikawa</vt:lpstr>
      <vt:lpstr>Plano de 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WELLISON BRAZ DA SILVA</dc:creator>
  <cp:lastModifiedBy>WELLISON BRAZ DA SILVA</cp:lastModifiedBy>
  <dcterms:created xsi:type="dcterms:W3CDTF">2026-07-07T11:08:50Z</dcterms:created>
  <dcterms:modified xsi:type="dcterms:W3CDTF">2026-07-14T19:53:15Z</dcterms:modified>
</cp:coreProperties>
</file>
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ISSIN\Desktop\Projetos Pessoais\"/>
    </mc:Choice>
  </mc:AlternateContent>
  <xr:revisionPtr revIDLastSave="0" documentId="13_ncr:1_{C2C3820F-511C-4ADA-BE94-6A82F861EC10}" xr6:coauthVersionLast="47" xr6:coauthVersionMax="47" xr10:uidLastSave="{00000000-0000-0000-0000-000000000000}"/>
  <bookViews>
    <workbookView xWindow="-108" yWindow="-108" windowWidth="23256" windowHeight="12456" activeTab="2" xr2:uid="{0F4EE27B-717E-4987-8078-A4E9B060FA67}"/>
  </bookViews>
  <sheets>
    <sheet name="Base de Dados" sheetId="1" r:id="rId1"/>
    <sheet name="Auxiliar" sheetId="2" r:id="rId2"/>
    <sheet name="Dashboard" sheetId="5" r:id="rId3"/>
  </sheets>
  <definedNames>
    <definedName name="_xlnm._FilterDatabase" localSheetId="0" hidden="1">'Base de Dados'!$B$1:$J$241</definedName>
    <definedName name="SegmentaçãodeDados_Área">#N/A</definedName>
    <definedName name="SegmentaçãodeDados_Trimestre">#N/A</definedName>
  </definedNames>
  <calcPr calcId="191029"/>
  <pivotCaches>
    <pivotCache cacheId="1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2" l="1"/>
  <c r="I24" i="2"/>
  <c r="I25" i="2"/>
  <c r="I26" i="2"/>
  <c r="I27" i="2"/>
  <c r="I28" i="2"/>
  <c r="I29" i="2"/>
  <c r="I30" i="2"/>
  <c r="I31" i="2"/>
  <c r="I32" i="2"/>
  <c r="I33" i="2"/>
  <c r="I34" i="2"/>
  <c r="I35" i="2"/>
  <c r="I22" i="2"/>
  <c r="H25" i="2"/>
  <c r="H26" i="2"/>
  <c r="H27" i="2"/>
  <c r="H28" i="2"/>
  <c r="H29" i="2"/>
  <c r="H30" i="2"/>
  <c r="H31" i="2"/>
  <c r="H32" i="2"/>
  <c r="H33" i="2"/>
  <c r="H34" i="2"/>
  <c r="H35" i="2"/>
  <c r="H24" i="2"/>
  <c r="H23" i="2"/>
  <c r="H22" i="2"/>
  <c r="M2" i="1"/>
  <c r="M3" i="1"/>
  <c r="M4" i="1"/>
  <c r="M5" i="1"/>
  <c r="M6" i="1"/>
  <c r="M7" i="1"/>
  <c r="M8" i="1"/>
  <c r="K8" i="1" s="1"/>
  <c r="M9" i="1"/>
  <c r="M10" i="1"/>
  <c r="K10" i="1" s="1"/>
  <c r="M11" i="1"/>
  <c r="K11" i="1" s="1"/>
  <c r="M12" i="1"/>
  <c r="K12" i="1" s="1"/>
  <c r="M13" i="1"/>
  <c r="K13" i="1" s="1"/>
  <c r="M14" i="1"/>
  <c r="M15" i="1"/>
  <c r="K15" i="1" s="1"/>
  <c r="M16" i="1"/>
  <c r="K16" i="1" s="1"/>
  <c r="M17" i="1"/>
  <c r="K17" i="1" s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K40" i="1" s="1"/>
  <c r="M41" i="1"/>
  <c r="K41" i="1" s="1"/>
  <c r="M42" i="1"/>
  <c r="K42" i="1" s="1"/>
  <c r="M43" i="1"/>
  <c r="K43" i="1" s="1"/>
  <c r="M44" i="1"/>
  <c r="K44" i="1" s="1"/>
  <c r="M45" i="1"/>
  <c r="K45" i="1" s="1"/>
  <c r="M46" i="1"/>
  <c r="M47" i="1"/>
  <c r="K47" i="1" s="1"/>
  <c r="M48" i="1"/>
  <c r="K48" i="1" s="1"/>
  <c r="M49" i="1"/>
  <c r="K49" i="1" s="1"/>
  <c r="M50" i="1"/>
  <c r="M51" i="1"/>
  <c r="M52" i="1"/>
  <c r="M53" i="1"/>
  <c r="M54" i="1"/>
  <c r="M55" i="1"/>
  <c r="M56" i="1"/>
  <c r="M57" i="1"/>
  <c r="M58" i="1"/>
  <c r="M59" i="1"/>
  <c r="M60" i="1"/>
  <c r="K60" i="1" s="1"/>
  <c r="M61" i="1"/>
  <c r="K61" i="1" s="1"/>
  <c r="M62" i="1"/>
  <c r="M63" i="1"/>
  <c r="K63" i="1" s="1"/>
  <c r="M64" i="1"/>
  <c r="K64" i="1" s="1"/>
  <c r="M65" i="1"/>
  <c r="K65" i="1" s="1"/>
  <c r="M66" i="1"/>
  <c r="M67" i="1"/>
  <c r="M68" i="1"/>
  <c r="M69" i="1"/>
  <c r="M70" i="1"/>
  <c r="M71" i="1"/>
  <c r="M72" i="1"/>
  <c r="K72" i="1" s="1"/>
  <c r="M73" i="1"/>
  <c r="M74" i="1"/>
  <c r="K74" i="1" s="1"/>
  <c r="M75" i="1"/>
  <c r="K75" i="1" s="1"/>
  <c r="M76" i="1"/>
  <c r="K76" i="1" s="1"/>
  <c r="M77" i="1"/>
  <c r="K77" i="1" s="1"/>
  <c r="M78" i="1"/>
  <c r="M79" i="1"/>
  <c r="K79" i="1" s="1"/>
  <c r="M80" i="1"/>
  <c r="K80" i="1" s="1"/>
  <c r="M81" i="1"/>
  <c r="K81" i="1" s="1"/>
  <c r="M82" i="1"/>
  <c r="M83" i="1"/>
  <c r="M84" i="1"/>
  <c r="M85" i="1"/>
  <c r="M86" i="1"/>
  <c r="M87" i="1"/>
  <c r="M88" i="1"/>
  <c r="K88" i="1" s="1"/>
  <c r="M89" i="1"/>
  <c r="K89" i="1" s="1"/>
  <c r="M90" i="1"/>
  <c r="K90" i="1" s="1"/>
  <c r="M91" i="1"/>
  <c r="K91" i="1" s="1"/>
  <c r="M92" i="1"/>
  <c r="K92" i="1" s="1"/>
  <c r="M93" i="1"/>
  <c r="K93" i="1" s="1"/>
  <c r="M94" i="1"/>
  <c r="M95" i="1"/>
  <c r="M96" i="1"/>
  <c r="K96" i="1" s="1"/>
  <c r="M97" i="1"/>
  <c r="K97" i="1" s="1"/>
  <c r="M98" i="1"/>
  <c r="M99" i="1"/>
  <c r="M100" i="1"/>
  <c r="M101" i="1"/>
  <c r="M102" i="1"/>
  <c r="M103" i="1"/>
  <c r="M104" i="1"/>
  <c r="M105" i="1"/>
  <c r="K105" i="1" s="1"/>
  <c r="M106" i="1"/>
  <c r="M107" i="1"/>
  <c r="M108" i="1"/>
  <c r="M109" i="1"/>
  <c r="K109" i="1" s="1"/>
  <c r="M110" i="1"/>
  <c r="M111" i="1"/>
  <c r="K111" i="1" s="1"/>
  <c r="M112" i="1"/>
  <c r="K112" i="1" s="1"/>
  <c r="M113" i="1"/>
  <c r="K113" i="1" s="1"/>
  <c r="M114" i="1"/>
  <c r="M115" i="1"/>
  <c r="M116" i="1"/>
  <c r="M117" i="1"/>
  <c r="M118" i="1"/>
  <c r="M119" i="1"/>
  <c r="M120" i="1"/>
  <c r="K120" i="1" s="1"/>
  <c r="M121" i="1"/>
  <c r="K121" i="1" s="1"/>
  <c r="M122" i="1"/>
  <c r="K122" i="1" s="1"/>
  <c r="M123" i="1"/>
  <c r="K123" i="1" s="1"/>
  <c r="M124" i="1"/>
  <c r="K124" i="1" s="1"/>
  <c r="M125" i="1"/>
  <c r="K125" i="1" s="1"/>
  <c r="M126" i="1"/>
  <c r="M127" i="1"/>
  <c r="M128" i="1"/>
  <c r="K128" i="1" s="1"/>
  <c r="M129" i="1"/>
  <c r="K129" i="1" s="1"/>
  <c r="M130" i="1"/>
  <c r="K130" i="1" s="1"/>
  <c r="M131" i="1"/>
  <c r="M132" i="1"/>
  <c r="M133" i="1"/>
  <c r="M134" i="1"/>
  <c r="M135" i="1"/>
  <c r="M136" i="1"/>
  <c r="M137" i="1"/>
  <c r="M138" i="1"/>
  <c r="K138" i="1" s="1"/>
  <c r="M139" i="1"/>
  <c r="K139" i="1" s="1"/>
  <c r="M140" i="1"/>
  <c r="K140" i="1" s="1"/>
  <c r="M141" i="1"/>
  <c r="M142" i="1"/>
  <c r="M143" i="1"/>
  <c r="M144" i="1"/>
  <c r="K144" i="1" s="1"/>
  <c r="M145" i="1"/>
  <c r="K145" i="1" s="1"/>
  <c r="M146" i="1"/>
  <c r="M147" i="1"/>
  <c r="M148" i="1"/>
  <c r="M149" i="1"/>
  <c r="M150" i="1"/>
  <c r="M151" i="1"/>
  <c r="M152" i="1"/>
  <c r="M153" i="1"/>
  <c r="K153" i="1" s="1"/>
  <c r="M154" i="1"/>
  <c r="M155" i="1"/>
  <c r="K155" i="1" s="1"/>
  <c r="M156" i="1"/>
  <c r="K156" i="1" s="1"/>
  <c r="M157" i="1"/>
  <c r="K157" i="1" s="1"/>
  <c r="M158" i="1"/>
  <c r="M159" i="1"/>
  <c r="K159" i="1" s="1"/>
  <c r="M160" i="1"/>
  <c r="K160" i="1" s="1"/>
  <c r="M161" i="1"/>
  <c r="K161" i="1" s="1"/>
  <c r="M162" i="1"/>
  <c r="M163" i="1"/>
  <c r="M164" i="1"/>
  <c r="M165" i="1"/>
  <c r="M166" i="1"/>
  <c r="M167" i="1"/>
  <c r="M168" i="1"/>
  <c r="M169" i="1"/>
  <c r="M170" i="1"/>
  <c r="M171" i="1"/>
  <c r="K171" i="1" s="1"/>
  <c r="M172" i="1"/>
  <c r="K172" i="1" s="1"/>
  <c r="M173" i="1"/>
  <c r="K173" i="1" s="1"/>
  <c r="M174" i="1"/>
  <c r="M175" i="1"/>
  <c r="K175" i="1" s="1"/>
  <c r="M176" i="1"/>
  <c r="K176" i="1" s="1"/>
  <c r="M177" i="1"/>
  <c r="K177" i="1" s="1"/>
  <c r="M178" i="1"/>
  <c r="M179" i="1"/>
  <c r="M180" i="1"/>
  <c r="M181" i="1"/>
  <c r="M182" i="1"/>
  <c r="M183" i="1"/>
  <c r="M184" i="1"/>
  <c r="M185" i="1"/>
  <c r="M186" i="1"/>
  <c r="M187" i="1"/>
  <c r="M188" i="1"/>
  <c r="K188" i="1" s="1"/>
  <c r="M189" i="1"/>
  <c r="K189" i="1" s="1"/>
  <c r="M190" i="1"/>
  <c r="M191" i="1"/>
  <c r="M192" i="1"/>
  <c r="K192" i="1" s="1"/>
  <c r="M193" i="1"/>
  <c r="K193" i="1" s="1"/>
  <c r="M194" i="1"/>
  <c r="M195" i="1"/>
  <c r="M196" i="1"/>
  <c r="M197" i="1"/>
  <c r="M198" i="1"/>
  <c r="M199" i="1"/>
  <c r="K199" i="1" s="1"/>
  <c r="M200" i="1"/>
  <c r="K200" i="1" s="1"/>
  <c r="M201" i="1"/>
  <c r="K201" i="1" s="1"/>
  <c r="M202" i="1"/>
  <c r="K202" i="1" s="1"/>
  <c r="M203" i="1"/>
  <c r="K203" i="1" s="1"/>
  <c r="M204" i="1"/>
  <c r="K204" i="1" s="1"/>
  <c r="M205" i="1"/>
  <c r="K205" i="1" s="1"/>
  <c r="M206" i="1"/>
  <c r="M207" i="1"/>
  <c r="M208" i="1"/>
  <c r="K208" i="1" s="1"/>
  <c r="M209" i="1"/>
  <c r="K209" i="1" s="1"/>
  <c r="M210" i="1"/>
  <c r="M211" i="1"/>
  <c r="M212" i="1"/>
  <c r="M213" i="1"/>
  <c r="M214" i="1"/>
  <c r="M215" i="1"/>
  <c r="M216" i="1"/>
  <c r="M217" i="1"/>
  <c r="K217" i="1" s="1"/>
  <c r="M218" i="1"/>
  <c r="K218" i="1" s="1"/>
  <c r="M219" i="1"/>
  <c r="K219" i="1" s="1"/>
  <c r="M220" i="1"/>
  <c r="K220" i="1" s="1"/>
  <c r="M221" i="1"/>
  <c r="M222" i="1"/>
  <c r="M223" i="1"/>
  <c r="K223" i="1" s="1"/>
  <c r="M224" i="1"/>
  <c r="K224" i="1" s="1"/>
  <c r="M225" i="1"/>
  <c r="K225" i="1" s="1"/>
  <c r="M226" i="1"/>
  <c r="M227" i="1"/>
  <c r="K227" i="1" s="1"/>
  <c r="M228" i="1"/>
  <c r="K228" i="1" s="1"/>
  <c r="M229" i="1"/>
  <c r="M230" i="1"/>
  <c r="M231" i="1"/>
  <c r="M232" i="1"/>
  <c r="M233" i="1"/>
  <c r="M234" i="1"/>
  <c r="M235" i="1"/>
  <c r="M236" i="1"/>
  <c r="M237" i="1"/>
  <c r="K237" i="1" s="1"/>
  <c r="M238" i="1"/>
  <c r="M239" i="1"/>
  <c r="M240" i="1"/>
  <c r="M241" i="1"/>
  <c r="K3" i="1"/>
  <c r="K9" i="1"/>
  <c r="K14" i="1"/>
  <c r="K28" i="1"/>
  <c r="K29" i="1"/>
  <c r="K30" i="1"/>
  <c r="K31" i="1"/>
  <c r="K32" i="1"/>
  <c r="K33" i="1"/>
  <c r="K46" i="1"/>
  <c r="K62" i="1"/>
  <c r="K73" i="1"/>
  <c r="K78" i="1"/>
  <c r="K103" i="1"/>
  <c r="K104" i="1"/>
  <c r="K106" i="1"/>
  <c r="K107" i="1"/>
  <c r="K108" i="1"/>
  <c r="K110" i="1"/>
  <c r="K126" i="1"/>
  <c r="K127" i="1"/>
  <c r="K136" i="1"/>
  <c r="K137" i="1"/>
  <c r="K141" i="1"/>
  <c r="K158" i="1"/>
  <c r="K165" i="1"/>
  <c r="K167" i="1"/>
  <c r="K168" i="1"/>
  <c r="K169" i="1"/>
  <c r="K190" i="1"/>
  <c r="K191" i="1"/>
  <c r="K197" i="1"/>
  <c r="K206" i="1"/>
  <c r="K207" i="1"/>
  <c r="K221" i="1"/>
  <c r="K222" i="1"/>
  <c r="K6" i="1"/>
  <c r="K18" i="1"/>
  <c r="K34" i="1"/>
  <c r="K50" i="1"/>
  <c r="K66" i="1"/>
  <c r="K82" i="1"/>
  <c r="K84" i="1"/>
  <c r="K85" i="1"/>
  <c r="K86" i="1"/>
  <c r="K98" i="1"/>
  <c r="K102" i="1"/>
  <c r="K114" i="1"/>
  <c r="K116" i="1"/>
  <c r="K117" i="1"/>
  <c r="K134" i="1"/>
  <c r="K142" i="1"/>
  <c r="K143" i="1"/>
  <c r="K146" i="1"/>
  <c r="K162" i="1"/>
  <c r="K170" i="1"/>
  <c r="K174" i="1"/>
  <c r="K178" i="1"/>
  <c r="K194" i="1"/>
  <c r="K210" i="1"/>
  <c r="K212" i="1"/>
  <c r="K213" i="1"/>
  <c r="K214" i="1"/>
  <c r="K226" i="1"/>
  <c r="K230" i="1"/>
  <c r="K2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2" i="1"/>
  <c r="K4" i="1"/>
  <c r="K5" i="1"/>
  <c r="K7" i="1"/>
  <c r="K19" i="1"/>
  <c r="K20" i="1"/>
  <c r="K21" i="1"/>
  <c r="K22" i="1"/>
  <c r="K23" i="1"/>
  <c r="K24" i="1"/>
  <c r="K25" i="1"/>
  <c r="K26" i="1"/>
  <c r="K27" i="1"/>
  <c r="K35" i="1"/>
  <c r="K36" i="1"/>
  <c r="K37" i="1"/>
  <c r="K38" i="1"/>
  <c r="K39" i="1"/>
  <c r="K51" i="1"/>
  <c r="K52" i="1"/>
  <c r="K53" i="1"/>
  <c r="K54" i="1"/>
  <c r="K55" i="1"/>
  <c r="K56" i="1"/>
  <c r="K57" i="1"/>
  <c r="K58" i="1"/>
  <c r="K59" i="1"/>
  <c r="K67" i="1"/>
  <c r="K68" i="1"/>
  <c r="K69" i="1"/>
  <c r="K70" i="1"/>
  <c r="K71" i="1"/>
  <c r="K83" i="1"/>
  <c r="K87" i="1"/>
  <c r="K94" i="1"/>
  <c r="K95" i="1"/>
  <c r="K99" i="1"/>
  <c r="K100" i="1"/>
  <c r="K101" i="1"/>
  <c r="K115" i="1"/>
  <c r="K118" i="1"/>
  <c r="K119" i="1"/>
  <c r="K131" i="1"/>
  <c r="K132" i="1"/>
  <c r="K133" i="1"/>
  <c r="K135" i="1"/>
  <c r="K147" i="1"/>
  <c r="K148" i="1"/>
  <c r="K149" i="1"/>
  <c r="K150" i="1"/>
  <c r="K151" i="1"/>
  <c r="K152" i="1"/>
  <c r="K154" i="1"/>
  <c r="K163" i="1"/>
  <c r="K164" i="1"/>
  <c r="K166" i="1"/>
  <c r="K179" i="1"/>
  <c r="K180" i="1"/>
  <c r="K181" i="1"/>
  <c r="K182" i="1"/>
  <c r="K183" i="1"/>
  <c r="K184" i="1"/>
  <c r="K185" i="1"/>
  <c r="K186" i="1"/>
  <c r="K187" i="1"/>
  <c r="K195" i="1"/>
  <c r="K196" i="1"/>
  <c r="K198" i="1"/>
  <c r="K211" i="1"/>
  <c r="K215" i="1"/>
  <c r="K216" i="1"/>
  <c r="K229" i="1"/>
  <c r="K231" i="1"/>
  <c r="K232" i="1"/>
  <c r="K233" i="1"/>
  <c r="K234" i="1"/>
  <c r="K235" i="1"/>
  <c r="K236" i="1"/>
  <c r="K238" i="1"/>
  <c r="K239" i="1"/>
  <c r="K240" i="1"/>
  <c r="K241" i="1"/>
  <c r="I36" i="2" l="1"/>
  <c r="J32" i="2" s="1"/>
  <c r="J23" i="2" l="1"/>
  <c r="J24" i="2"/>
  <c r="J31" i="2"/>
  <c r="J34" i="2"/>
  <c r="J22" i="2"/>
  <c r="K22" i="2" s="1"/>
  <c r="J25" i="2"/>
  <c r="J28" i="2"/>
  <c r="J29" i="2"/>
  <c r="J26" i="2"/>
  <c r="J33" i="2"/>
  <c r="J35" i="2"/>
  <c r="J27" i="2"/>
  <c r="J30" i="2"/>
  <c r="K23" i="2" l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</calcChain>
</file>

<file path=xl/sharedStrings.xml><?xml version="1.0" encoding="utf-8"?>
<sst xmlns="http://schemas.openxmlformats.org/spreadsheetml/2006/main" count="1102" uniqueCount="126">
  <si>
    <t>ID</t>
  </si>
  <si>
    <t>Data</t>
  </si>
  <si>
    <t>Modelo</t>
  </si>
  <si>
    <t>Área</t>
  </si>
  <si>
    <t>Problema</t>
  </si>
  <si>
    <t>Gravidade</t>
  </si>
  <si>
    <t>Produção</t>
  </si>
  <si>
    <t>Defeitos</t>
  </si>
  <si>
    <t>Pós-venda</t>
  </si>
  <si>
    <t>SUV C</t>
  </si>
  <si>
    <t>Sedan B</t>
  </si>
  <si>
    <t>Hatch A</t>
  </si>
  <si>
    <t>Pickup D</t>
  </si>
  <si>
    <t>Elétrico EV</t>
  </si>
  <si>
    <t>Montagem</t>
  </si>
  <si>
    <t>Elétrica</t>
  </si>
  <si>
    <t>Pintura</t>
  </si>
  <si>
    <t>Acabamento</t>
  </si>
  <si>
    <t>Powertrain</t>
  </si>
  <si>
    <t>Eletrônica</t>
  </si>
  <si>
    <t>Segurança</t>
  </si>
  <si>
    <t>Carroceria</t>
  </si>
  <si>
    <t>Torque fora da especificação</t>
  </si>
  <si>
    <t>Falha no sensor ABS</t>
  </si>
  <si>
    <t>Falha na pintura</t>
  </si>
  <si>
    <t>Ruído interno</t>
  </si>
  <si>
    <t>Vazamento de óleo</t>
  </si>
  <si>
    <t>Parafuso ausente</t>
  </si>
  <si>
    <t>Falha na central multimídia</t>
  </si>
  <si>
    <t>Airbag com falha de comunicação</t>
  </si>
  <si>
    <t>Desalinhamento das portas</t>
  </si>
  <si>
    <t>Vazamento de líquido de arrefecimento</t>
  </si>
  <si>
    <t>Alta</t>
  </si>
  <si>
    <t>Média</t>
  </si>
  <si>
    <t>Baixa</t>
  </si>
  <si>
    <t>Crítica</t>
  </si>
  <si>
    <t>Risco na carroceria</t>
  </si>
  <si>
    <t>Chassi</t>
  </si>
  <si>
    <t>Ruído na suspensão</t>
  </si>
  <si>
    <t>Falha na vedação</t>
  </si>
  <si>
    <t>Falha no chicote elétrico</t>
  </si>
  <si>
    <t>13/01/2025</t>
  </si>
  <si>
    <t>14/01/2025</t>
  </si>
  <si>
    <t>15/01/2025</t>
  </si>
  <si>
    <t>17/01/2025</t>
  </si>
  <si>
    <t>20/01/2025</t>
  </si>
  <si>
    <t>22/01/2025</t>
  </si>
  <si>
    <t>24/01/2025</t>
  </si>
  <si>
    <t>27/01/2025</t>
  </si>
  <si>
    <t>29/01/2025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</si>
  <si>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</si>
  <si>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</si>
  <si>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</si>
  <si>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</si>
  <si>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</si>
  <si>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</si>
  <si>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</si>
  <si>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</si>
  <si>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13/02/2025</t>
  </si>
  <si>
    <t>14/02/2025</t>
  </si>
  <si>
    <t>17/02/2025</t>
  </si>
  <si>
    <t>19/02/2025</t>
  </si>
  <si>
    <t>20/02/2025</t>
  </si>
  <si>
    <t>21/02/2025</t>
  </si>
  <si>
    <t>24/02/2025</t>
  </si>
  <si>
    <t>26/02/2025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</si>
  <si>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</si>
  <si>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</si>
  <si>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</si>
  <si>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</si>
  <si>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</si>
  <si>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</si>
  <si>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</si>
  <si>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</si>
  <si>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</si>
  <si>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</si>
  <si>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</si>
  <si>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</si>
  <si>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</si>
  <si>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</si>
  <si>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</si>
  <si>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</si>
  <si>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</si>
  <si>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</si>
  <si>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</si>
  <si>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</si>
  <si>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</si>
  <si>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</si>
  <si>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</si>
  <si>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Semestre</t>
  </si>
  <si>
    <t>Trimestre</t>
  </si>
  <si>
    <t>Mês</t>
  </si>
  <si>
    <t>Nº Mês</t>
  </si>
  <si>
    <t>Rótulos de Linha</t>
  </si>
  <si>
    <t>Total Geral</t>
  </si>
  <si>
    <t>Soma de Defeitos</t>
  </si>
  <si>
    <t>Defeitos por Mês</t>
  </si>
  <si>
    <t>Defeitos por Modelo</t>
  </si>
  <si>
    <t>Principais Problemas</t>
  </si>
  <si>
    <t>Modelos</t>
  </si>
  <si>
    <t>Problemas</t>
  </si>
  <si>
    <t>Defeitos por Área</t>
  </si>
  <si>
    <t>Gravidade dos Problemas</t>
  </si>
  <si>
    <t>Contagem de ID</t>
  </si>
  <si>
    <t>Contagem de Defeitos</t>
  </si>
  <si>
    <t>Pós-Venda</t>
  </si>
  <si>
    <t>Ocorrência</t>
  </si>
  <si>
    <t>%</t>
  </si>
  <si>
    <t>% Acumulada</t>
  </si>
  <si>
    <t>T1</t>
  </si>
  <si>
    <t>T2</t>
  </si>
  <si>
    <t>T3</t>
  </si>
  <si>
    <t>T4</t>
  </si>
  <si>
    <t>Contagem de Área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</si>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</sst>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0" fontId="0" fillId="0" borderId="1" xfId="1" applyNumberFormat="1" applyFont="1" applyBorder="1"/>
    <xf numFmtId="0" fontId="0" fillId="2" borderId="1" xfId="0" applyFill="1" applyBorder="1"/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1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>
          <bgColor rgb="FF304878"/>
        </patternFill>
      </fill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ashboard" pivot="0" table="0" count="3" xr9:uid="{D4DA6A27-A192-49E6-A89B-5EAB0397FC10}">
      <tableStyleElement type="wholeTable" dxfId="1104"/>
    </tableStyle>
  </tableStyles>
  <colors>
    <mruColors>
      <color rgb="FFF0A818"/>
      <color rgb="FF304878"/>
      <color rgb="FF7890A8"/>
      <color rgb="FF181848"/>
      <color rgb="FFF4F5F7"/>
      <color rgb="FFD92727"/>
    </mruColors>
  </colors>
  <extLst>
    <ext xmlns:x14="http://schemas.microsoft.com/office/spreadsheetml/2009/9/main" uri="{46F421CA-312F-682f-3DD2-61675219B42D}">
      <x14:dxfs count="2">
        <dxf>
          <font>
            <b/>
            <i val="0"/>
            <color rgb="FFF0A818"/>
          </font>
          <fill>
            <patternFill>
              <bgColor theme="0"/>
            </patternFill>
          </fill>
        </dxf>
        <dxf>
          <font>
            <b/>
            <i val="0"/>
            <color theme="1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ashboard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Auxiliar!$I$21</c:f>
              <c:strCache>
                <c:ptCount val="1"/>
                <c:pt idx="0">
                  <c:v>Ocorrência</c:v>
                </c:pt>
              </c:strCache>
            </c:strRef>
          </c:tx>
          <c:spPr>
            <a:solidFill>
              <a:srgbClr val="F0A818"/>
            </a:solidFill>
            <a:ln>
              <a:noFill/>
            </a:ln>
            <a:effectLst/>
          </c:spPr>
          <c:invertIfNegative val="0"/>
          <c:cat>
            <c:strRef>
              <c:f>Auxiliar!$H$22:$H$35</c:f>
              <c:strCache>
                <c:ptCount val="14"/>
                <c:pt idx="0">
                  <c:v>Falha na central multimídia</c:v>
                </c:pt>
                <c:pt idx="1">
                  <c:v>Falha na pintura</c:v>
                </c:pt>
                <c:pt idx="2">
                  <c:v>Torque fora da especificação</c:v>
                </c:pt>
                <c:pt idx="3">
                  <c:v>Ruído interno</c:v>
                </c:pt>
                <c:pt idx="4">
                  <c:v>Parafuso ausente</c:v>
                </c:pt>
                <c:pt idx="5">
                  <c:v>Falha no sensor ABS</c:v>
                </c:pt>
                <c:pt idx="6">
                  <c:v>Risco na carroceria</c:v>
                </c:pt>
                <c:pt idx="7">
                  <c:v>Desalinhamento das portas</c:v>
                </c:pt>
                <c:pt idx="8">
                  <c:v>Ruído na suspensão</c:v>
                </c:pt>
                <c:pt idx="9">
                  <c:v>Falha no chicote elétrico</c:v>
                </c:pt>
                <c:pt idx="10">
                  <c:v>Vazamento de óleo</c:v>
                </c:pt>
                <c:pt idx="11">
                  <c:v>Airbag com falha de comunicação</c:v>
                </c:pt>
                <c:pt idx="12">
                  <c:v>Falha na vedação</c:v>
                </c:pt>
                <c:pt idx="13">
                  <c:v>Vazamento de líquido de arrefecimento</c:v>
                </c:pt>
              </c:strCache>
            </c:strRef>
          </c:cat>
          <c:val>
            <c:numRef>
              <c:f>Auxiliar!$I$22:$I$35</c:f>
              <c:numCache>
                <c:formatCode>General</c:formatCode>
                <c:ptCount val="14"/>
                <c:pt idx="0">
                  <c:v>27</c:v>
                </c:pt>
                <c:pt idx="1">
                  <c:v>25</c:v>
                </c:pt>
                <c:pt idx="2">
                  <c:v>23</c:v>
                </c:pt>
                <c:pt idx="3">
                  <c:v>23</c:v>
                </c:pt>
                <c:pt idx="4">
                  <c:v>21</c:v>
                </c:pt>
                <c:pt idx="5">
                  <c:v>17</c:v>
                </c:pt>
                <c:pt idx="6">
                  <c:v>16</c:v>
                </c:pt>
                <c:pt idx="7">
                  <c:v>14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6-470A-A3DA-724BCE61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977682672"/>
        <c:axId val="19776821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Auxiliar!$J$21</c15:sqref>
                        </c15:formulaRef>
                      </c:ext>
                    </c:extLst>
                    <c:strCache>
                      <c:ptCount val="1"/>
                      <c:pt idx="0">
                        <c:v>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Auxiliar!$H$22:$H$35</c15:sqref>
                        </c15:formulaRef>
                      </c:ext>
                    </c:extLst>
                    <c:strCache>
                      <c:ptCount val="14"/>
                      <c:pt idx="0">
                        <c:v>Falha na central multimídia</c:v>
                      </c:pt>
                      <c:pt idx="1">
                        <c:v>Falha na pintura</c:v>
                      </c:pt>
                      <c:pt idx="2">
                        <c:v>Torque fora da especificação</c:v>
                      </c:pt>
                      <c:pt idx="3">
                        <c:v>Ruído interno</c:v>
                      </c:pt>
                      <c:pt idx="4">
                        <c:v>Parafuso ausente</c:v>
                      </c:pt>
                      <c:pt idx="5">
                        <c:v>Falha no sensor ABS</c:v>
                      </c:pt>
                      <c:pt idx="6">
                        <c:v>Risco na carroceria</c:v>
                      </c:pt>
                      <c:pt idx="7">
                        <c:v>Desalinhamento das portas</c:v>
                      </c:pt>
                      <c:pt idx="8">
                        <c:v>Ruído na suspensão</c:v>
                      </c:pt>
                      <c:pt idx="9">
                        <c:v>Falha no chicote elétrico</c:v>
                      </c:pt>
                      <c:pt idx="10">
                        <c:v>Vazamento de óleo</c:v>
                      </c:pt>
                      <c:pt idx="11">
                        <c:v>Airbag com falha de comunicação</c:v>
                      </c:pt>
                      <c:pt idx="12">
                        <c:v>Falha na vedação</c:v>
                      </c:pt>
                      <c:pt idx="13">
                        <c:v>Vazamento de líquido de arrefecimento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Auxiliar!$J$22:$J$35</c15:sqref>
                        </c15:formulaRef>
                      </c:ext>
                    </c:extLst>
                    <c:numCache>
                      <c:formatCode>0.00%</c:formatCode>
                      <c:ptCount val="14"/>
                      <c:pt idx="0">
                        <c:v>0.1125</c:v>
                      </c:pt>
                      <c:pt idx="1">
                        <c:v>0.10416666666666667</c:v>
                      </c:pt>
                      <c:pt idx="2">
                        <c:v>9.583333333333334E-2</c:v>
                      </c:pt>
                      <c:pt idx="3">
                        <c:v>9.583333333333334E-2</c:v>
                      </c:pt>
                      <c:pt idx="4">
                        <c:v>8.7499999999999994E-2</c:v>
                      </c:pt>
                      <c:pt idx="5">
                        <c:v>7.0833333333333331E-2</c:v>
                      </c:pt>
                      <c:pt idx="6">
                        <c:v>6.6666666666666666E-2</c:v>
                      </c:pt>
                      <c:pt idx="7">
                        <c:v>5.8333333333333334E-2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5.4166666666666669E-2</c:v>
                      </c:pt>
                      <c:pt idx="11">
                        <c:v>0.05</c:v>
                      </c:pt>
                      <c:pt idx="12">
                        <c:v>0.05</c:v>
                      </c:pt>
                      <c:pt idx="13">
                        <c:v>4.583333333333333E-2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C96-470A-A3DA-724BCE61A81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Auxiliar!$K$21</c:f>
              <c:strCache>
                <c:ptCount val="1"/>
                <c:pt idx="0">
                  <c:v>% Acumulada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Auxiliar!$H$22:$H$35</c:f>
              <c:strCache>
                <c:ptCount val="14"/>
                <c:pt idx="0">
                  <c:v>Falha na central multimídia</c:v>
                </c:pt>
                <c:pt idx="1">
                  <c:v>Falha na pintura</c:v>
                </c:pt>
                <c:pt idx="2">
                  <c:v>Torque fora da especificação</c:v>
                </c:pt>
                <c:pt idx="3">
                  <c:v>Ruído interno</c:v>
                </c:pt>
                <c:pt idx="4">
                  <c:v>Parafuso ausente</c:v>
                </c:pt>
                <c:pt idx="5">
                  <c:v>Falha no sensor ABS</c:v>
                </c:pt>
                <c:pt idx="6">
                  <c:v>Risco na carroceria</c:v>
                </c:pt>
                <c:pt idx="7">
                  <c:v>Desalinhamento das portas</c:v>
                </c:pt>
                <c:pt idx="8">
                  <c:v>Ruído na suspensão</c:v>
                </c:pt>
                <c:pt idx="9">
                  <c:v>Falha no chicote elétrico</c:v>
                </c:pt>
                <c:pt idx="10">
                  <c:v>Vazamento de óleo</c:v>
                </c:pt>
                <c:pt idx="11">
                  <c:v>Airbag com falha de comunicação</c:v>
                </c:pt>
                <c:pt idx="12">
                  <c:v>Falha na vedação</c:v>
                </c:pt>
                <c:pt idx="13">
                  <c:v>Vazamento de líquido de arrefecimento</c:v>
                </c:pt>
              </c:strCache>
            </c:strRef>
          </c:cat>
          <c:val>
            <c:numRef>
              <c:f>Auxiliar!$K$22:$K$35</c:f>
              <c:numCache>
                <c:formatCode>0.00%</c:formatCode>
                <c:ptCount val="14"/>
                <c:pt idx="0">
                  <c:v>0.1125</c:v>
                </c:pt>
                <c:pt idx="1">
                  <c:v>0.21666666666666667</c:v>
                </c:pt>
                <c:pt idx="2">
                  <c:v>0.3125</c:v>
                </c:pt>
                <c:pt idx="3">
                  <c:v>0.40833333333333333</c:v>
                </c:pt>
                <c:pt idx="4">
                  <c:v>0.49583333333333335</c:v>
                </c:pt>
                <c:pt idx="5">
                  <c:v>0.56666666666666665</c:v>
                </c:pt>
                <c:pt idx="6">
                  <c:v>0.6333333333333333</c:v>
                </c:pt>
                <c:pt idx="7">
                  <c:v>0.69166666666666665</c:v>
                </c:pt>
                <c:pt idx="8">
                  <c:v>0.74583333333333335</c:v>
                </c:pt>
                <c:pt idx="9">
                  <c:v>0.8</c:v>
                </c:pt>
                <c:pt idx="10">
                  <c:v>0.85416666666666674</c:v>
                </c:pt>
                <c:pt idx="11">
                  <c:v>0.90416666666666679</c:v>
                </c:pt>
                <c:pt idx="12">
                  <c:v>0.95416666666666683</c:v>
                </c:pt>
                <c:pt idx="13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96-470A-A3DA-724BCE61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917808"/>
        <c:axId val="341920688"/>
      </c:lineChart>
      <c:catAx>
        <c:axId val="19776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682192"/>
        <c:crosses val="autoZero"/>
        <c:auto val="1"/>
        <c:lblAlgn val="ctr"/>
        <c:lblOffset val="100"/>
        <c:noMultiLvlLbl val="0"/>
      </c:catAx>
      <c:valAx>
        <c:axId val="1977682192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682672"/>
        <c:crosses val="autoZero"/>
        <c:crossBetween val="between"/>
      </c:valAx>
      <c:valAx>
        <c:axId val="341920688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1917808"/>
        <c:crosses val="max"/>
        <c:crossBetween val="between"/>
      </c:valAx>
      <c:catAx>
        <c:axId val="341917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1920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04878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Dados- Qualidade.xlsx]Auxiliar!Tabela dinâmica4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92727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92727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0A818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0A818"/>
            </a:solidFill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Auxiliar!$K$3:$K$12</c:f>
              <c:strCache>
                <c:ptCount val="9"/>
                <c:pt idx="0">
                  <c:v>Montagem</c:v>
                </c:pt>
                <c:pt idx="1">
                  <c:v>Pintura</c:v>
                </c:pt>
                <c:pt idx="2">
                  <c:v>Acabamento</c:v>
                </c:pt>
                <c:pt idx="3">
                  <c:v>Elétrica</c:v>
                </c:pt>
                <c:pt idx="4">
                  <c:v>Eletrônica</c:v>
                </c:pt>
                <c:pt idx="5">
                  <c:v>Powertrain</c:v>
                </c:pt>
                <c:pt idx="6">
                  <c:v>Carroceria</c:v>
                </c:pt>
                <c:pt idx="7">
                  <c:v>Chassi</c:v>
                </c:pt>
                <c:pt idx="8">
                  <c:v>Segurança</c:v>
                </c:pt>
              </c:strCache>
            </c:strRef>
          </c:cat>
          <c:val>
            <c:numRef>
              <c:f>Auxiliar!$L$3:$L$12</c:f>
              <c:numCache>
                <c:formatCode>General</c:formatCode>
                <c:ptCount val="9"/>
                <c:pt idx="0">
                  <c:v>44</c:v>
                </c:pt>
                <c:pt idx="1">
                  <c:v>41</c:v>
                </c:pt>
                <c:pt idx="2">
                  <c:v>35</c:v>
                </c:pt>
                <c:pt idx="3">
                  <c:v>30</c:v>
                </c:pt>
                <c:pt idx="4">
                  <c:v>27</c:v>
                </c:pt>
                <c:pt idx="5">
                  <c:v>24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F-4C3E-B36A-1BCB88E424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91661552"/>
        <c:axId val="191659152"/>
      </c:barChart>
      <c:catAx>
        <c:axId val="19166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659152"/>
        <c:crosses val="autoZero"/>
        <c:auto val="1"/>
        <c:lblAlgn val="ctr"/>
        <c:lblOffset val="100"/>
        <c:noMultiLvlLbl val="0"/>
      </c:catAx>
      <c:valAx>
        <c:axId val="191659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66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04878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 w="12700">
            <a:solidFill>
              <a:schemeClr val="tx1"/>
            </a:solidFill>
          </a:ln>
          <a:effectLst>
            <a:softEdge rad="0"/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Série1</c:v>
          </c:tx>
          <c:spPr>
            <a:solidFill>
              <a:srgbClr val="FFC000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388-4E4C-A572-743E89452D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cat>
          <c:val>
            <c:numLit>
              <c:formatCode>General</c:formatCode>
              <c:ptCount val="3"/>
              <c:pt idx="0">
                <c:v>59</c:v>
              </c:pt>
              <c:pt idx="1">
                <c:v>49</c:v>
              </c:pt>
              <c:pt idx="2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01-4388-4E4C-A572-743E89452D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"/>
        <c:axId val="1980199296"/>
        <c:axId val="1980200736"/>
      </c:barChart>
      <c:catAx>
        <c:axId val="198019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0200736"/>
        <c:crosses val="autoZero"/>
        <c:auto val="1"/>
        <c:lblAlgn val="ctr"/>
        <c:lblOffset val="100"/>
        <c:noMultiLvlLbl val="0"/>
      </c:catAx>
      <c:valAx>
        <c:axId val="19802007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0199296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0487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image" Target="../media/image2.sv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24</xdr:col>
      <xdr:colOff>22860</xdr:colOff>
      <xdr:row>44</xdr:row>
      <xdr:rowOff>167640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DC947D1-5B00-A02B-8526-D9CF45B3B16A}"/>
            </a:ext>
          </a:extLst>
        </xdr:cNvPr>
        <xdr:cNvSpPr/>
      </xdr:nvSpPr>
      <xdr:spPr>
        <a:xfrm>
          <a:off x="0" y="15240"/>
          <a:ext cx="14653260" cy="8294914"/>
        </a:xfrm>
        <a:prstGeom prst="rect">
          <a:avLst/>
        </a:prstGeom>
        <a:solidFill>
          <a:srgbClr val="181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175260</xdr:colOff>
      <xdr:row>0</xdr:row>
      <xdr:rowOff>130629</xdr:rowOff>
    </xdr:from>
    <xdr:to>
      <xdr:col>3</xdr:col>
      <xdr:colOff>320040</xdr:colOff>
      <xdr:row>36</xdr:row>
      <xdr:rowOff>99060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B567078-D6E3-0D11-70A8-C9C24E88441A}"/>
            </a:ext>
          </a:extLst>
        </xdr:cNvPr>
        <xdr:cNvSpPr/>
      </xdr:nvSpPr>
      <xdr:spPr>
        <a:xfrm>
          <a:off x="175260" y="130629"/>
          <a:ext cx="1973580" cy="6552111"/>
        </a:xfrm>
        <a:prstGeom prst="roundRect">
          <a:avLst>
            <a:gd name="adj" fmla="val 5952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522515</xdr:colOff>
      <xdr:row>0</xdr:row>
      <xdr:rowOff>146958</xdr:rowOff>
    </xdr:from>
    <xdr:to>
      <xdr:col>8</xdr:col>
      <xdr:colOff>272143</xdr:colOff>
      <xdr:row>8</xdr:row>
      <xdr:rowOff>70757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10FDBD81-F262-40EF-BA86-679E6646946F}"/>
            </a:ext>
          </a:extLst>
        </xdr:cNvPr>
        <xdr:cNvSpPr/>
      </xdr:nvSpPr>
      <xdr:spPr>
        <a:xfrm>
          <a:off x="2351315" y="146958"/>
          <a:ext cx="2797628" cy="1386839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881</a:t>
          </a:r>
        </a:p>
      </xdr:txBody>
    </xdr:sp>
    <xdr:clientData/>
  </xdr:twoCellAnchor>
  <xdr:twoCellAnchor>
    <xdr:from>
      <xdr:col>8</xdr:col>
      <xdr:colOff>402773</xdr:colOff>
      <xdr:row>0</xdr:row>
      <xdr:rowOff>146958</xdr:rowOff>
    </xdr:from>
    <xdr:to>
      <xdr:col>13</xdr:col>
      <xdr:colOff>152401</xdr:colOff>
      <xdr:row>8</xdr:row>
      <xdr:rowOff>70757</xdr:rowOff>
    </xdr:to>
    <xdr:sp macro="" textlink="Auxiliar!E3">
      <xdr:nvSpPr>
        <xdr:cNvPr id="7" name="Retângulo: Cantos Arredondados 6">
          <a:extLst>
            <a:ext uri="{FF2B5EF4-FFF2-40B4-BE49-F238E27FC236}">
              <a16:creationId xmlns:a16="http://schemas.microsoft.com/office/drawing/2014/main" id="{C5946022-5DEE-1B28-7ADE-B1C1A0A64E82}"/>
            </a:ext>
          </a:extLst>
        </xdr:cNvPr>
        <xdr:cNvSpPr/>
      </xdr:nvSpPr>
      <xdr:spPr>
        <a:xfrm>
          <a:off x="5279573" y="146958"/>
          <a:ext cx="2797628" cy="1386839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B433220-13F8-41E5-A449-5EBA023A7B06}" type="TxLink">
            <a:rPr lang="en-US" sz="18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SUV C</a:t>
          </a:fld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283031</xdr:colOff>
      <xdr:row>0</xdr:row>
      <xdr:rowOff>146958</xdr:rowOff>
    </xdr:from>
    <xdr:to>
      <xdr:col>18</xdr:col>
      <xdr:colOff>32659</xdr:colOff>
      <xdr:row>8</xdr:row>
      <xdr:rowOff>70757</xdr:rowOff>
    </xdr:to>
    <xdr:sp macro="" textlink="Auxiliar!K3">
      <xdr:nvSpPr>
        <xdr:cNvPr id="8" name="Retângulo: Cantos Arredondados 7">
          <a:extLst>
            <a:ext uri="{FF2B5EF4-FFF2-40B4-BE49-F238E27FC236}">
              <a16:creationId xmlns:a16="http://schemas.microsoft.com/office/drawing/2014/main" id="{77A8D974-FB97-0CAF-181E-B4B11FED3D9A}"/>
            </a:ext>
          </a:extLst>
        </xdr:cNvPr>
        <xdr:cNvSpPr/>
      </xdr:nvSpPr>
      <xdr:spPr>
        <a:xfrm>
          <a:off x="8207831" y="146958"/>
          <a:ext cx="2797628" cy="1386839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C02A59A-7E55-46F3-9A2B-AECD78ECCE38}" type="TxLink">
            <a:rPr lang="en-US" sz="18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Montagem</a:t>
          </a:fld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163288</xdr:colOff>
      <xdr:row>0</xdr:row>
      <xdr:rowOff>146958</xdr:rowOff>
    </xdr:from>
    <xdr:to>
      <xdr:col>22</xdr:col>
      <xdr:colOff>522516</xdr:colOff>
      <xdr:row>8</xdr:row>
      <xdr:rowOff>70757</xdr:rowOff>
    </xdr:to>
    <xdr:sp macro="" textlink="Auxiliar!H3">
      <xdr:nvSpPr>
        <xdr:cNvPr id="9" name="Retângulo: Cantos Arredondados 8">
          <a:extLst>
            <a:ext uri="{FF2B5EF4-FFF2-40B4-BE49-F238E27FC236}">
              <a16:creationId xmlns:a16="http://schemas.microsoft.com/office/drawing/2014/main" id="{649FB578-B041-82DC-A1DC-DD1570E60F2C}"/>
            </a:ext>
          </a:extLst>
        </xdr:cNvPr>
        <xdr:cNvSpPr/>
      </xdr:nvSpPr>
      <xdr:spPr>
        <a:xfrm>
          <a:off x="11136088" y="146958"/>
          <a:ext cx="2797628" cy="1386839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9E6A90-7B17-4832-86FC-382B389C0CC1}" type="TxLink">
            <a:rPr lang="en-US" sz="18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Falha na central multimídia</a:t>
          </a:fld>
          <a:endParaRPr lang="pt-BR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274320</xdr:colOff>
      <xdr:row>8</xdr:row>
      <xdr:rowOff>174713</xdr:rowOff>
    </xdr:from>
    <xdr:to>
      <xdr:col>22</xdr:col>
      <xdr:colOff>579119</xdr:colOff>
      <xdr:row>23</xdr:row>
      <xdr:rowOff>163830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42177145-F6D8-4DA5-B378-373385C84EFB}"/>
            </a:ext>
          </a:extLst>
        </xdr:cNvPr>
        <xdr:cNvSpPr/>
      </xdr:nvSpPr>
      <xdr:spPr>
        <a:xfrm>
          <a:off x="8199120" y="1637753"/>
          <a:ext cx="5791199" cy="2732317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472440</xdr:colOff>
      <xdr:row>8</xdr:row>
      <xdr:rowOff>174713</xdr:rowOff>
    </xdr:from>
    <xdr:to>
      <xdr:col>13</xdr:col>
      <xdr:colOff>167639</xdr:colOff>
      <xdr:row>23</xdr:row>
      <xdr:rowOff>163830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ACE4E6D2-5D30-4171-AFC9-E46ACE623EE8}"/>
            </a:ext>
          </a:extLst>
        </xdr:cNvPr>
        <xdr:cNvSpPr/>
      </xdr:nvSpPr>
      <xdr:spPr>
        <a:xfrm>
          <a:off x="2301240" y="1637753"/>
          <a:ext cx="5791199" cy="2732317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552450</xdr:colOff>
      <xdr:row>24</xdr:row>
      <xdr:rowOff>50906</xdr:rowOff>
    </xdr:from>
    <xdr:to>
      <xdr:col>10</xdr:col>
      <xdr:colOff>57150</xdr:colOff>
      <xdr:row>36</xdr:row>
      <xdr:rowOff>133350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3A25FE8D-799E-4C67-A86A-AC1C286EB2E3}"/>
            </a:ext>
          </a:extLst>
        </xdr:cNvPr>
        <xdr:cNvSpPr/>
      </xdr:nvSpPr>
      <xdr:spPr>
        <a:xfrm>
          <a:off x="2381250" y="4440026"/>
          <a:ext cx="3771900" cy="2277004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179070</xdr:colOff>
      <xdr:row>24</xdr:row>
      <xdr:rowOff>50906</xdr:rowOff>
    </xdr:from>
    <xdr:to>
      <xdr:col>16</xdr:col>
      <xdr:colOff>293370</xdr:colOff>
      <xdr:row>36</xdr:row>
      <xdr:rowOff>133350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D820C4E3-B938-4782-B090-2CE969DC9E1A}"/>
            </a:ext>
          </a:extLst>
        </xdr:cNvPr>
        <xdr:cNvSpPr/>
      </xdr:nvSpPr>
      <xdr:spPr>
        <a:xfrm>
          <a:off x="6275070" y="4440026"/>
          <a:ext cx="3771900" cy="2277004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415290</xdr:colOff>
      <xdr:row>24</xdr:row>
      <xdr:rowOff>50906</xdr:rowOff>
    </xdr:from>
    <xdr:to>
      <xdr:col>22</xdr:col>
      <xdr:colOff>529590</xdr:colOff>
      <xdr:row>36</xdr:row>
      <xdr:rowOff>133350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28CF7892-1435-646B-D226-B00C17B7597B}"/>
            </a:ext>
          </a:extLst>
        </xdr:cNvPr>
        <xdr:cNvSpPr/>
      </xdr:nvSpPr>
      <xdr:spPr>
        <a:xfrm>
          <a:off x="10168890" y="4440026"/>
          <a:ext cx="3771900" cy="2277004"/>
        </a:xfrm>
        <a:prstGeom prst="roundRect">
          <a:avLst>
            <a:gd name="adj" fmla="val 3626"/>
          </a:avLst>
        </a:prstGeom>
        <a:solidFill>
          <a:srgbClr val="30487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250370</xdr:colOff>
      <xdr:row>15</xdr:row>
      <xdr:rowOff>156758</xdr:rowOff>
    </xdr:from>
    <xdr:to>
      <xdr:col>3</xdr:col>
      <xdr:colOff>250370</xdr:colOff>
      <xdr:row>19</xdr:row>
      <xdr:rowOff>141516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Trimestre 1">
              <a:extLst>
                <a:ext uri="{FF2B5EF4-FFF2-40B4-BE49-F238E27FC236}">
                  <a16:creationId xmlns:a16="http://schemas.microsoft.com/office/drawing/2014/main" id="{337BDE67-3F96-49A2-8718-09CD7FD333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370" y="2899958"/>
              <a:ext cx="1828800" cy="716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250370</xdr:colOff>
      <xdr:row>20</xdr:row>
      <xdr:rowOff>156757</xdr:rowOff>
    </xdr:from>
    <xdr:to>
      <xdr:col>3</xdr:col>
      <xdr:colOff>250370</xdr:colOff>
      <xdr:row>36</xdr:row>
      <xdr:rowOff>119744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Área 1">
              <a:extLst>
                <a:ext uri="{FF2B5EF4-FFF2-40B4-BE49-F238E27FC236}">
                  <a16:creationId xmlns:a16="http://schemas.microsoft.com/office/drawing/2014/main" id="{BFB0E46F-98AA-42D3-80A9-DFF6BA91EF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370" y="3814357"/>
              <a:ext cx="1828800" cy="28890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283029</xdr:colOff>
      <xdr:row>19</xdr:row>
      <xdr:rowOff>76199</xdr:rowOff>
    </xdr:from>
    <xdr:to>
      <xdr:col>3</xdr:col>
      <xdr:colOff>370114</xdr:colOff>
      <xdr:row>20</xdr:row>
      <xdr:rowOff>141513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19885F93-EA6F-CCE5-B1BD-0AB64051951A}"/>
            </a:ext>
          </a:extLst>
        </xdr:cNvPr>
        <xdr:cNvSpPr txBox="1"/>
      </xdr:nvSpPr>
      <xdr:spPr>
        <a:xfrm>
          <a:off x="283029" y="3592285"/>
          <a:ext cx="1915885" cy="2503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Problemas por Área</a:t>
          </a:r>
        </a:p>
      </xdr:txBody>
    </xdr:sp>
    <xdr:clientData/>
  </xdr:twoCellAnchor>
  <xdr:twoCellAnchor>
    <xdr:from>
      <xdr:col>0</xdr:col>
      <xdr:colOff>124098</xdr:colOff>
      <xdr:row>13</xdr:row>
      <xdr:rowOff>14150</xdr:rowOff>
    </xdr:from>
    <xdr:to>
      <xdr:col>3</xdr:col>
      <xdr:colOff>428898</xdr:colOff>
      <xdr:row>17</xdr:row>
      <xdr:rowOff>129539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DF14805D-E354-4594-8668-BBE462366DD8}"/>
            </a:ext>
          </a:extLst>
        </xdr:cNvPr>
        <xdr:cNvSpPr txBox="1"/>
      </xdr:nvSpPr>
      <xdr:spPr>
        <a:xfrm>
          <a:off x="124098" y="2391590"/>
          <a:ext cx="2133600" cy="846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 b="1">
              <a:solidFill>
                <a:schemeClr val="bg1"/>
              </a:solidFill>
            </a:rPr>
            <a:t>Problemas por</a:t>
          </a:r>
          <a:r>
            <a:rPr lang="pt-BR" sz="1600" b="1" baseline="0">
              <a:solidFill>
                <a:schemeClr val="bg1"/>
              </a:solidFill>
            </a:rPr>
            <a:t> Trimestre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141515</xdr:colOff>
      <xdr:row>1</xdr:row>
      <xdr:rowOff>2</xdr:rowOff>
    </xdr:from>
    <xdr:to>
      <xdr:col>8</xdr:col>
      <xdr:colOff>141514</xdr:colOff>
      <xdr:row>3</xdr:row>
      <xdr:rowOff>16330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13BFC1B4-C191-4F6F-A788-7913E0E9F10A}"/>
            </a:ext>
          </a:extLst>
        </xdr:cNvPr>
        <xdr:cNvSpPr txBox="1"/>
      </xdr:nvSpPr>
      <xdr:spPr>
        <a:xfrm>
          <a:off x="2579915" y="185059"/>
          <a:ext cx="2438399" cy="38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TOTAL</a:t>
          </a:r>
          <a:r>
            <a:rPr lang="pt-BR" sz="1600" b="1" baseline="0">
              <a:solidFill>
                <a:schemeClr val="bg1"/>
              </a:solidFill>
            </a:rPr>
            <a:t> DE OCORRÊNCIAS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595087</xdr:colOff>
      <xdr:row>1</xdr:row>
      <xdr:rowOff>2</xdr:rowOff>
    </xdr:from>
    <xdr:to>
      <xdr:col>12</xdr:col>
      <xdr:colOff>595086</xdr:colOff>
      <xdr:row>3</xdr:row>
      <xdr:rowOff>16330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C4BD3F41-EE56-1DF6-6CDC-767813EAEE5C}"/>
            </a:ext>
          </a:extLst>
        </xdr:cNvPr>
        <xdr:cNvSpPr txBox="1"/>
      </xdr:nvSpPr>
      <xdr:spPr>
        <a:xfrm>
          <a:off x="5471887" y="185059"/>
          <a:ext cx="2438399" cy="38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MODELO CRÍTICO</a:t>
          </a:r>
        </a:p>
      </xdr:txBody>
    </xdr:sp>
    <xdr:clientData/>
  </xdr:twoCellAnchor>
  <xdr:twoCellAnchor>
    <xdr:from>
      <xdr:col>13</xdr:col>
      <xdr:colOff>439059</xdr:colOff>
      <xdr:row>1</xdr:row>
      <xdr:rowOff>2</xdr:rowOff>
    </xdr:from>
    <xdr:to>
      <xdr:col>17</xdr:col>
      <xdr:colOff>439058</xdr:colOff>
      <xdr:row>3</xdr:row>
      <xdr:rowOff>16330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3F41B91D-EC99-A3AF-5310-3A3CA3F924A5}"/>
            </a:ext>
          </a:extLst>
        </xdr:cNvPr>
        <xdr:cNvSpPr txBox="1"/>
      </xdr:nvSpPr>
      <xdr:spPr>
        <a:xfrm>
          <a:off x="8363859" y="185059"/>
          <a:ext cx="2438399" cy="38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ÁREA CRÍTICA</a:t>
          </a:r>
        </a:p>
      </xdr:txBody>
    </xdr:sp>
    <xdr:clientData/>
  </xdr:twoCellAnchor>
  <xdr:twoCellAnchor>
    <xdr:from>
      <xdr:col>18</xdr:col>
      <xdr:colOff>283030</xdr:colOff>
      <xdr:row>1</xdr:row>
      <xdr:rowOff>2</xdr:rowOff>
    </xdr:from>
    <xdr:to>
      <xdr:col>22</xdr:col>
      <xdr:colOff>283029</xdr:colOff>
      <xdr:row>3</xdr:row>
      <xdr:rowOff>16330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87DA9FFA-CB95-DC7E-E1D6-A6BBC9C53ECB}"/>
            </a:ext>
          </a:extLst>
        </xdr:cNvPr>
        <xdr:cNvSpPr txBox="1"/>
      </xdr:nvSpPr>
      <xdr:spPr>
        <a:xfrm>
          <a:off x="11255830" y="185059"/>
          <a:ext cx="2438399" cy="38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PROBLEMA PRINCIPAL</a:t>
          </a:r>
        </a:p>
      </xdr:txBody>
    </xdr:sp>
    <xdr:clientData/>
  </xdr:twoCellAnchor>
  <xdr:twoCellAnchor>
    <xdr:from>
      <xdr:col>3</xdr:col>
      <xdr:colOff>533400</xdr:colOff>
      <xdr:row>9</xdr:row>
      <xdr:rowOff>32656</xdr:rowOff>
    </xdr:from>
    <xdr:to>
      <xdr:col>13</xdr:col>
      <xdr:colOff>108857</xdr:colOff>
      <xdr:row>23</xdr:row>
      <xdr:rowOff>119743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5D0825AE-D13D-4897-9FFD-2F41B3F40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359229</xdr:colOff>
      <xdr:row>10</xdr:row>
      <xdr:rowOff>119743</xdr:rowOff>
    </xdr:from>
    <xdr:to>
      <xdr:col>22</xdr:col>
      <xdr:colOff>478972</xdr:colOff>
      <xdr:row>23</xdr:row>
      <xdr:rowOff>108857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E8A881C9-57E0-469B-BACF-0904BF378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112487</xdr:colOff>
      <xdr:row>8</xdr:row>
      <xdr:rowOff>174174</xdr:rowOff>
    </xdr:from>
    <xdr:to>
      <xdr:col>20</xdr:col>
      <xdr:colOff>112486</xdr:colOff>
      <xdr:row>11</xdr:row>
      <xdr:rowOff>5444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AF637497-B58E-4410-B7A2-F872E2F1B408}"/>
            </a:ext>
          </a:extLst>
        </xdr:cNvPr>
        <xdr:cNvSpPr txBox="1"/>
      </xdr:nvSpPr>
      <xdr:spPr>
        <a:xfrm>
          <a:off x="9866087" y="1654631"/>
          <a:ext cx="2438399" cy="38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Defeitos por Área </a:t>
          </a:r>
        </a:p>
      </xdr:txBody>
    </xdr:sp>
    <xdr:clientData/>
  </xdr:twoCellAnchor>
  <xdr:twoCellAnchor>
    <xdr:from>
      <xdr:col>6</xdr:col>
      <xdr:colOff>156029</xdr:colOff>
      <xdr:row>8</xdr:row>
      <xdr:rowOff>174174</xdr:rowOff>
    </xdr:from>
    <xdr:to>
      <xdr:col>10</xdr:col>
      <xdr:colOff>156028</xdr:colOff>
      <xdr:row>11</xdr:row>
      <xdr:rowOff>5444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110E4447-77C6-46C7-93FC-AF7AE1E279C6}"/>
            </a:ext>
          </a:extLst>
        </xdr:cNvPr>
        <xdr:cNvSpPr txBox="1"/>
      </xdr:nvSpPr>
      <xdr:spPr>
        <a:xfrm>
          <a:off x="3813629" y="1654631"/>
          <a:ext cx="2438399" cy="38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Diagrama</a:t>
          </a:r>
          <a:r>
            <a:rPr lang="pt-BR" sz="1600" b="1" baseline="0">
              <a:solidFill>
                <a:schemeClr val="bg1"/>
              </a:solidFill>
            </a:rPr>
            <a:t> de Pareto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587829</xdr:colOff>
      <xdr:row>25</xdr:row>
      <xdr:rowOff>65314</xdr:rowOff>
    </xdr:from>
    <xdr:to>
      <xdr:col>10</xdr:col>
      <xdr:colOff>21771</xdr:colOff>
      <xdr:row>35</xdr:row>
      <xdr:rowOff>130630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142C5552-43E4-40FA-BAC4-8E93F52A2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79829</xdr:colOff>
      <xdr:row>24</xdr:row>
      <xdr:rowOff>21774</xdr:rowOff>
    </xdr:from>
    <xdr:to>
      <xdr:col>9</xdr:col>
      <xdr:colOff>79828</xdr:colOff>
      <xdr:row>26</xdr:row>
      <xdr:rowOff>38101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B82B7D84-6EC7-410C-BF94-AA3CB077F13A}"/>
            </a:ext>
          </a:extLst>
        </xdr:cNvPr>
        <xdr:cNvSpPr txBox="1"/>
      </xdr:nvSpPr>
      <xdr:spPr>
        <a:xfrm>
          <a:off x="3127829" y="4463145"/>
          <a:ext cx="2438399" cy="38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Ocorrências</a:t>
          </a:r>
          <a:r>
            <a:rPr lang="pt-BR" sz="1600" b="1" baseline="0">
              <a:solidFill>
                <a:schemeClr val="bg1"/>
              </a:solidFill>
            </a:rPr>
            <a:t> por Mês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76197</xdr:colOff>
      <xdr:row>5</xdr:row>
      <xdr:rowOff>109801</xdr:rowOff>
    </xdr:from>
    <xdr:to>
      <xdr:col>4</xdr:col>
      <xdr:colOff>598715</xdr:colOff>
      <xdr:row>8</xdr:row>
      <xdr:rowOff>77148</xdr:rowOff>
    </xdr:to>
    <xdr:pic>
      <xdr:nvPicPr>
        <xdr:cNvPr id="42" name="Gráfico 41" descr="Apresentação com gráfico de pizza com preenchimento sólido">
          <a:extLst>
            <a:ext uri="{FF2B5EF4-FFF2-40B4-BE49-F238E27FC236}">
              <a16:creationId xmlns:a16="http://schemas.microsoft.com/office/drawing/2014/main" id="{76A31762-25CC-7662-54A9-F70456948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14597" y="1037453"/>
          <a:ext cx="522518" cy="523938"/>
        </a:xfrm>
        <a:prstGeom prst="rect">
          <a:avLst/>
        </a:prstGeom>
      </xdr:spPr>
    </xdr:pic>
    <xdr:clientData/>
  </xdr:twoCellAnchor>
  <xdr:twoCellAnchor editAs="oneCell">
    <xdr:from>
      <xdr:col>8</xdr:col>
      <xdr:colOff>507997</xdr:colOff>
      <xdr:row>5</xdr:row>
      <xdr:rowOff>109801</xdr:rowOff>
    </xdr:from>
    <xdr:to>
      <xdr:col>9</xdr:col>
      <xdr:colOff>420915</xdr:colOff>
      <xdr:row>8</xdr:row>
      <xdr:rowOff>77148</xdr:rowOff>
    </xdr:to>
    <xdr:pic>
      <xdr:nvPicPr>
        <xdr:cNvPr id="44" name="Gráfico 43" descr="Carro com preenchimento sólido">
          <a:extLst>
            <a:ext uri="{FF2B5EF4-FFF2-40B4-BE49-F238E27FC236}">
              <a16:creationId xmlns:a16="http://schemas.microsoft.com/office/drawing/2014/main" id="{A508EF86-5CD8-A3A5-7739-EFA5008E2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384797" y="1037453"/>
          <a:ext cx="522518" cy="523938"/>
        </a:xfrm>
        <a:prstGeom prst="rect">
          <a:avLst/>
        </a:prstGeom>
      </xdr:spPr>
    </xdr:pic>
    <xdr:clientData/>
  </xdr:twoCellAnchor>
  <xdr:twoCellAnchor editAs="oneCell">
    <xdr:from>
      <xdr:col>13</xdr:col>
      <xdr:colOff>330197</xdr:colOff>
      <xdr:row>5</xdr:row>
      <xdr:rowOff>109801</xdr:rowOff>
    </xdr:from>
    <xdr:to>
      <xdr:col>14</xdr:col>
      <xdr:colOff>243115</xdr:colOff>
      <xdr:row>8</xdr:row>
      <xdr:rowOff>77148</xdr:rowOff>
    </xdr:to>
    <xdr:pic>
      <xdr:nvPicPr>
        <xdr:cNvPr id="46" name="Gráfico 45" descr="Área de Transferência com preenchimento sólido">
          <a:extLst>
            <a:ext uri="{FF2B5EF4-FFF2-40B4-BE49-F238E27FC236}">
              <a16:creationId xmlns:a16="http://schemas.microsoft.com/office/drawing/2014/main" id="{0575D6B8-B35C-1505-38C6-7EADCBC06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254997" y="1037453"/>
          <a:ext cx="522518" cy="523938"/>
        </a:xfrm>
        <a:prstGeom prst="rect">
          <a:avLst/>
        </a:prstGeom>
      </xdr:spPr>
    </xdr:pic>
    <xdr:clientData/>
  </xdr:twoCellAnchor>
  <xdr:twoCellAnchor editAs="oneCell">
    <xdr:from>
      <xdr:col>18</xdr:col>
      <xdr:colOff>152396</xdr:colOff>
      <xdr:row>5</xdr:row>
      <xdr:rowOff>109801</xdr:rowOff>
    </xdr:from>
    <xdr:to>
      <xdr:col>19</xdr:col>
      <xdr:colOff>65314</xdr:colOff>
      <xdr:row>8</xdr:row>
      <xdr:rowOff>77148</xdr:rowOff>
    </xdr:to>
    <xdr:pic>
      <xdr:nvPicPr>
        <xdr:cNvPr id="48" name="Gráfico 47" descr="Na mosca com preenchimento sólido">
          <a:extLst>
            <a:ext uri="{FF2B5EF4-FFF2-40B4-BE49-F238E27FC236}">
              <a16:creationId xmlns:a16="http://schemas.microsoft.com/office/drawing/2014/main" id="{BCEDD0B7-F7D8-8E84-861D-EB413E04E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125196" y="1037453"/>
          <a:ext cx="522518" cy="5239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lison Braz da Silva" refreshedDate="46210.448730439814" createdVersion="8" refreshedVersion="8" minRefreshableVersion="3" recordCount="240" xr:uid="{98167874-2570-48E0-8CC6-E92F9A21D07F}">
  <cacheSource type="worksheet">
    <worksheetSource name="Tb.qualidade"/>
  </cacheSource>
  <cacheFields count="13">
    <cacheField name="ID" numFmtId="0">
      <sharedItems containsSemiMixedTypes="0" containsString="0" containsNumber="1" containsInteger="1" minValue="1" maxValue="240"/>
    </cacheField>
    <cacheField name="Data" numFmtId="0">
      <sharedItems containsDate="1" containsMixedTypes="1" minDate="2025-01-03T00:00:00" maxDate="2025-12-31T00:00:00"/>
    </cacheField>
    <cacheField name="Modelo" numFmtId="0">
      <sharedItems count="5">
        <s v="SUV C"/>
        <s v="Sedan B"/>
        <s v="Hatch A"/>
        <s v="Pickup D"/>
        <s v="Elétrico EV"/>
      </sharedItems>
    </cacheField>
    <cacheField name="Área" numFmtId="0">
      <sharedItems count="9">
        <s v="Montagem"/>
        <s v="Elétrica"/>
        <s v="Pintura"/>
        <s v="Acabamento"/>
        <s v="Powertrain"/>
        <s v="Eletrônica"/>
        <s v="Segurança"/>
        <s v="Carroceria"/>
        <s v="Chassi"/>
      </sharedItems>
    </cacheField>
    <cacheField name="Problema" numFmtId="0">
      <sharedItems count="14">
        <s v="Torque fora da especificação"/>
        <s v="Falha no sensor ABS"/>
        <s v="Falha na pintura"/>
        <s v="Ruído interno"/>
        <s v="Vazamento de óleo"/>
        <s v="Parafuso ausente"/>
        <s v="Falha na central multimídia"/>
        <s v="Airbag com falha de comunicação"/>
        <s v="Desalinhamento das portas"/>
        <s v="Vazamento de líquido de arrefecimento"/>
        <s v="Risco na carroceria"/>
        <s v="Ruído na suspensão"/>
        <s v="Falha na vedação"/>
        <s v="Falha no chicote elétrico"/>
      </sharedItems>
    </cacheField>
    <cacheField name="Gravidade" numFmtId="0">
      <sharedItems count="4">
        <s v="Alta"/>
        <s v="Média"/>
        <s v="Baixa"/>
        <s v="Crítica"/>
      </sharedItems>
    </cacheField>
    <cacheField name="Produção" numFmtId="0">
      <sharedItems containsSemiMixedTypes="0" containsString="0" containsNumber="1" containsInteger="1" minValue="10" maxValue="120"/>
    </cacheField>
    <cacheField name="Defeitos" numFmtId="0">
      <sharedItems containsSemiMixedTypes="0" containsString="0" containsNumber="1" containsInteger="1" minValue="1" maxValue="12"/>
    </cacheField>
    <cacheField name="Pós-venda" numFmtId="0">
      <sharedItems containsSemiMixedTypes="0" containsString="0" containsNumber="1" containsInteger="1" minValue="0" maxValue="7" count="8">
        <n v="4"/>
        <n v="2"/>
        <n v="1"/>
        <n v="5"/>
        <n v="3"/>
        <n v="6"/>
        <n v="0"/>
        <n v="7"/>
      </sharedItems>
    </cacheField>
    <cacheField name="Semestre" numFmtId="0">
      <sharedItems/>
    </cacheField>
    <cacheField name="Trimestre" numFmtId="0">
      <sharedItems count="4">
        <s v="T1"/>
        <s v="T2"/>
        <s v="T3"/>
        <s v="T4"/>
      </sharedItems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Nº 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 pivotCacheId="1089401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"/>
    <d v="2025-01-03T00:00:00"/>
    <x v="0"/>
    <x v="0"/>
    <x v="0"/>
    <x v="0"/>
    <n v="100"/>
    <n v="7"/>
    <x v="0"/>
    <s v="1º Semestre"/>
    <x v="0"/>
    <x v="0"/>
    <x v="0"/>
  </r>
  <r>
    <n v="2"/>
    <d v="2025-01-03T00:00:00"/>
    <x v="0"/>
    <x v="1"/>
    <x v="1"/>
    <x v="0"/>
    <n v="120"/>
    <n v="3"/>
    <x v="1"/>
    <s v="1º Semestre"/>
    <x v="0"/>
    <x v="0"/>
    <x v="0"/>
  </r>
  <r>
    <n v="3"/>
    <d v="2025-01-05T00:00:00"/>
    <x v="1"/>
    <x v="2"/>
    <x v="2"/>
    <x v="1"/>
    <n v="90"/>
    <n v="9"/>
    <x v="2"/>
    <s v="1º Semestre"/>
    <x v="0"/>
    <x v="0"/>
    <x v="0"/>
  </r>
  <r>
    <n v="4"/>
    <d v="2025-01-06T00:00:00"/>
    <x v="2"/>
    <x v="3"/>
    <x v="3"/>
    <x v="1"/>
    <n v="50"/>
    <n v="6"/>
    <x v="3"/>
    <s v="1º Semestre"/>
    <x v="0"/>
    <x v="0"/>
    <x v="0"/>
  </r>
  <r>
    <n v="5"/>
    <d v="2025-01-07T00:00:00"/>
    <x v="3"/>
    <x v="4"/>
    <x v="4"/>
    <x v="0"/>
    <n v="30"/>
    <n v="2"/>
    <x v="1"/>
    <s v="1º Semestre"/>
    <x v="0"/>
    <x v="0"/>
    <x v="0"/>
  </r>
  <r>
    <n v="6"/>
    <d v="2025-01-08T00:00:00"/>
    <x v="0"/>
    <x v="0"/>
    <x v="5"/>
    <x v="0"/>
    <n v="120"/>
    <n v="4"/>
    <x v="4"/>
    <s v="1º Semestre"/>
    <x v="0"/>
    <x v="0"/>
    <x v="0"/>
  </r>
  <r>
    <n v="7"/>
    <d v="2025-01-09T00:00:00"/>
    <x v="4"/>
    <x v="5"/>
    <x v="6"/>
    <x v="2"/>
    <n v="30"/>
    <n v="5"/>
    <x v="1"/>
    <s v="1º Semestre"/>
    <x v="0"/>
    <x v="0"/>
    <x v="0"/>
  </r>
  <r>
    <n v="8"/>
    <d v="2025-01-10T00:00:00"/>
    <x v="1"/>
    <x v="6"/>
    <x v="7"/>
    <x v="3"/>
    <n v="90"/>
    <n v="1"/>
    <x v="2"/>
    <s v="1º Semestre"/>
    <x v="0"/>
    <x v="0"/>
    <x v="0"/>
  </r>
  <r>
    <n v="9"/>
    <d v="2025-01-10T00:00:00"/>
    <x v="0"/>
    <x v="7"/>
    <x v="8"/>
    <x v="1"/>
    <n v="120"/>
    <n v="5"/>
    <x v="0"/>
    <s v="1º Semestre"/>
    <x v="0"/>
    <x v="0"/>
    <x v="0"/>
  </r>
  <r>
    <n v="10"/>
    <d v="2025-01-11T00:00:00"/>
    <x v="3"/>
    <x v="4"/>
    <x v="9"/>
    <x v="0"/>
    <n v="30"/>
    <n v="3"/>
    <x v="1"/>
    <s v="1º Semestre"/>
    <x v="0"/>
    <x v="0"/>
    <x v="0"/>
  </r>
  <r>
    <n v="11"/>
    <s v="13/01/2025"/>
    <x v="2"/>
    <x v="2"/>
    <x v="10"/>
    <x v="2"/>
    <n v="50"/>
    <n v="12"/>
    <x v="2"/>
    <s v="1º Semestre"/>
    <x v="0"/>
    <x v="0"/>
    <x v="0"/>
  </r>
  <r>
    <n v="12"/>
    <s v="14/01/2025"/>
    <x v="0"/>
    <x v="8"/>
    <x v="11"/>
    <x v="1"/>
    <n v="120"/>
    <n v="7"/>
    <x v="3"/>
    <s v="1º Semestre"/>
    <x v="0"/>
    <x v="0"/>
    <x v="0"/>
  </r>
  <r>
    <n v="13"/>
    <s v="15/01/2025"/>
    <x v="1"/>
    <x v="3"/>
    <x v="12"/>
    <x v="1"/>
    <n v="90"/>
    <n v="6"/>
    <x v="0"/>
    <s v="1º Semestre"/>
    <x v="0"/>
    <x v="0"/>
    <x v="0"/>
  </r>
  <r>
    <n v="14"/>
    <s v="17/01/2025"/>
    <x v="3"/>
    <x v="0"/>
    <x v="0"/>
    <x v="0"/>
    <n v="30"/>
    <n v="5"/>
    <x v="4"/>
    <s v="1º Semestre"/>
    <x v="0"/>
    <x v="0"/>
    <x v="0"/>
  </r>
  <r>
    <n v="15"/>
    <s v="20/01/2025"/>
    <x v="4"/>
    <x v="5"/>
    <x v="6"/>
    <x v="2"/>
    <n v="30"/>
    <n v="8"/>
    <x v="4"/>
    <s v="1º Semestre"/>
    <x v="0"/>
    <x v="0"/>
    <x v="0"/>
  </r>
  <r>
    <n v="16"/>
    <s v="22/01/2025"/>
    <x v="0"/>
    <x v="1"/>
    <x v="13"/>
    <x v="0"/>
    <n v="120"/>
    <n v="4"/>
    <x v="4"/>
    <s v="1º Semestre"/>
    <x v="0"/>
    <x v="0"/>
    <x v="0"/>
  </r>
  <r>
    <n v="17"/>
    <s v="24/01/2025"/>
    <x v="1"/>
    <x v="2"/>
    <x v="2"/>
    <x v="1"/>
    <n v="90"/>
    <n v="10"/>
    <x v="1"/>
    <s v="1º Semestre"/>
    <x v="0"/>
    <x v="0"/>
    <x v="0"/>
  </r>
  <r>
    <n v="18"/>
    <s v="27/01/2025"/>
    <x v="2"/>
    <x v="3"/>
    <x v="3"/>
    <x v="1"/>
    <n v="50"/>
    <n v="8"/>
    <x v="5"/>
    <s v="1º Semestre"/>
    <x v="0"/>
    <x v="0"/>
    <x v="0"/>
  </r>
  <r>
    <n v="19"/>
    <s v="29/01/2025"/>
    <x v="0"/>
    <x v="0"/>
    <x v="5"/>
    <x v="0"/>
    <n v="120"/>
    <n v="3"/>
    <x v="1"/>
    <s v="1º Semestre"/>
    <x v="0"/>
    <x v="0"/>
    <x v="0"/>
  </r>
  <r>
    <n v="20"/>
    <s v="31/01/2025"/>
    <x v="3"/>
    <x v="4"/>
    <x v="4"/>
    <x v="0"/>
    <n v="30"/>
    <n v="2"/>
    <x v="1"/>
    <s v="1º Semestre"/>
    <x v="0"/>
    <x v="0"/>
    <x v="0"/>
  </r>
  <r>
    <n v="21"/>
    <s v="03/02/2025"/>
    <x v="0"/>
    <x v="0"/>
    <x v="0"/>
    <x v="0"/>
    <n v="120"/>
    <n v="6"/>
    <x v="0"/>
    <s v="1º Semestre"/>
    <x v="0"/>
    <x v="1"/>
    <x v="1"/>
  </r>
  <r>
    <n v="22"/>
    <s v="04/02/2025"/>
    <x v="1"/>
    <x v="2"/>
    <x v="2"/>
    <x v="1"/>
    <n v="90"/>
    <n v="8"/>
    <x v="2"/>
    <s v="1º Semestre"/>
    <x v="0"/>
    <x v="1"/>
    <x v="1"/>
  </r>
  <r>
    <n v="23"/>
    <s v="05/02/2025"/>
    <x v="2"/>
    <x v="3"/>
    <x v="3"/>
    <x v="1"/>
    <n v="42"/>
    <n v="7"/>
    <x v="3"/>
    <s v="1º Semestre"/>
    <x v="0"/>
    <x v="1"/>
    <x v="1"/>
  </r>
  <r>
    <n v="24"/>
    <s v="06/02/2025"/>
    <x v="3"/>
    <x v="4"/>
    <x v="4"/>
    <x v="0"/>
    <n v="30"/>
    <n v="2"/>
    <x v="1"/>
    <s v="1º Semestre"/>
    <x v="0"/>
    <x v="1"/>
    <x v="1"/>
  </r>
  <r>
    <n v="25"/>
    <s v="07/02/2025"/>
    <x v="0"/>
    <x v="1"/>
    <x v="1"/>
    <x v="0"/>
    <n v="120"/>
    <n v="3"/>
    <x v="1"/>
    <s v="1º Semestre"/>
    <x v="0"/>
    <x v="1"/>
    <x v="1"/>
  </r>
  <r>
    <n v="26"/>
    <s v="10/02/2025"/>
    <x v="4"/>
    <x v="5"/>
    <x v="6"/>
    <x v="2"/>
    <n v="30"/>
    <n v="6"/>
    <x v="1"/>
    <s v="1º Semestre"/>
    <x v="0"/>
    <x v="1"/>
    <x v="1"/>
  </r>
  <r>
    <n v="27"/>
    <s v="11/02/2025"/>
    <x v="1"/>
    <x v="6"/>
    <x v="7"/>
    <x v="3"/>
    <n v="90"/>
    <n v="1"/>
    <x v="2"/>
    <s v="1º Semestre"/>
    <x v="0"/>
    <x v="1"/>
    <x v="1"/>
  </r>
  <r>
    <n v="28"/>
    <s v="13/02/2025"/>
    <x v="0"/>
    <x v="7"/>
    <x v="8"/>
    <x v="1"/>
    <n v="110"/>
    <n v="4"/>
    <x v="4"/>
    <s v="1º Semestre"/>
    <x v="0"/>
    <x v="1"/>
    <x v="1"/>
  </r>
  <r>
    <n v="29"/>
    <s v="14/02/2025"/>
    <x v="3"/>
    <x v="0"/>
    <x v="5"/>
    <x v="0"/>
    <n v="30"/>
    <n v="4"/>
    <x v="1"/>
    <s v="1º Semestre"/>
    <x v="0"/>
    <x v="1"/>
    <x v="1"/>
  </r>
  <r>
    <n v="30"/>
    <s v="17/02/2025"/>
    <x v="2"/>
    <x v="2"/>
    <x v="10"/>
    <x v="2"/>
    <n v="42"/>
    <n v="10"/>
    <x v="2"/>
    <s v="1º Semestre"/>
    <x v="0"/>
    <x v="1"/>
    <x v="1"/>
  </r>
  <r>
    <n v="31"/>
    <s v="19/02/2025"/>
    <x v="0"/>
    <x v="8"/>
    <x v="11"/>
    <x v="1"/>
    <n v="110"/>
    <n v="6"/>
    <x v="0"/>
    <s v="1º Semestre"/>
    <x v="0"/>
    <x v="1"/>
    <x v="1"/>
  </r>
  <r>
    <n v="32"/>
    <s v="20/02/2025"/>
    <x v="1"/>
    <x v="3"/>
    <x v="12"/>
    <x v="1"/>
    <n v="90"/>
    <n v="5"/>
    <x v="4"/>
    <s v="1º Semestre"/>
    <x v="0"/>
    <x v="1"/>
    <x v="1"/>
  </r>
  <r>
    <n v="33"/>
    <s v="21/02/2025"/>
    <x v="4"/>
    <x v="5"/>
    <x v="6"/>
    <x v="2"/>
    <n v="30"/>
    <n v="7"/>
    <x v="4"/>
    <s v="1º Semestre"/>
    <x v="0"/>
    <x v="1"/>
    <x v="1"/>
  </r>
  <r>
    <n v="34"/>
    <s v="24/02/2025"/>
    <x v="0"/>
    <x v="1"/>
    <x v="13"/>
    <x v="0"/>
    <n v="110"/>
    <n v="3"/>
    <x v="1"/>
    <s v="1º Semestre"/>
    <x v="0"/>
    <x v="1"/>
    <x v="1"/>
  </r>
  <r>
    <n v="35"/>
    <s v="26/02/2025"/>
    <x v="3"/>
    <x v="4"/>
    <x v="9"/>
    <x v="0"/>
    <n v="30"/>
    <n v="2"/>
    <x v="1"/>
    <s v="1º Semestre"/>
    <x v="0"/>
    <x v="1"/>
    <x v="1"/>
  </r>
  <r>
    <n v="36"/>
    <s v="28/02/2025"/>
    <x v="1"/>
    <x v="2"/>
    <x v="2"/>
    <x v="1"/>
    <n v="90"/>
    <n v="9"/>
    <x v="1"/>
    <s v="1º Semestre"/>
    <x v="0"/>
    <x v="1"/>
    <x v="1"/>
  </r>
  <r>
    <n v="37"/>
    <s v="03/03/2025"/>
    <x v="0"/>
    <x v="0"/>
    <x v="0"/>
    <x v="0"/>
    <n v="110"/>
    <n v="5"/>
    <x v="4"/>
    <s v="1º Semestre"/>
    <x v="0"/>
    <x v="2"/>
    <x v="2"/>
  </r>
  <r>
    <n v="38"/>
    <s v="04/03/2025"/>
    <x v="1"/>
    <x v="2"/>
    <x v="2"/>
    <x v="1"/>
    <n v="90"/>
    <n v="7"/>
    <x v="2"/>
    <s v="1º Semestre"/>
    <x v="0"/>
    <x v="2"/>
    <x v="2"/>
  </r>
  <r>
    <n v="39"/>
    <s v="05/03/2025"/>
    <x v="2"/>
    <x v="3"/>
    <x v="3"/>
    <x v="1"/>
    <n v="42"/>
    <n v="6"/>
    <x v="0"/>
    <s v="1º Semestre"/>
    <x v="0"/>
    <x v="2"/>
    <x v="2"/>
  </r>
  <r>
    <n v="40"/>
    <s v="06/03/2025"/>
    <x v="3"/>
    <x v="4"/>
    <x v="4"/>
    <x v="0"/>
    <n v="30"/>
    <n v="2"/>
    <x v="1"/>
    <s v="1º Semestre"/>
    <x v="0"/>
    <x v="2"/>
    <x v="2"/>
  </r>
  <r>
    <n v="41"/>
    <s v="07/03/2025"/>
    <x v="0"/>
    <x v="1"/>
    <x v="1"/>
    <x v="0"/>
    <n v="115"/>
    <n v="2"/>
    <x v="2"/>
    <s v="1º Semestre"/>
    <x v="0"/>
    <x v="2"/>
    <x v="2"/>
  </r>
  <r>
    <n v="42"/>
    <s v="10/03/2025"/>
    <x v="4"/>
    <x v="5"/>
    <x v="6"/>
    <x v="2"/>
    <n v="30"/>
    <n v="5"/>
    <x v="2"/>
    <s v="1º Semestre"/>
    <x v="0"/>
    <x v="2"/>
    <x v="2"/>
  </r>
  <r>
    <n v="43"/>
    <s v="11/03/2025"/>
    <x v="0"/>
    <x v="7"/>
    <x v="8"/>
    <x v="1"/>
    <n v="115"/>
    <n v="4"/>
    <x v="4"/>
    <s v="1º Semestre"/>
    <x v="0"/>
    <x v="2"/>
    <x v="2"/>
  </r>
  <r>
    <n v="44"/>
    <s v="13/03/2025"/>
    <x v="3"/>
    <x v="0"/>
    <x v="5"/>
    <x v="0"/>
    <n v="30"/>
    <n v="3"/>
    <x v="1"/>
    <s v="1º Semestre"/>
    <x v="0"/>
    <x v="2"/>
    <x v="2"/>
  </r>
  <r>
    <n v="45"/>
    <s v="14/03/2025"/>
    <x v="2"/>
    <x v="2"/>
    <x v="10"/>
    <x v="2"/>
    <n v="42"/>
    <n v="9"/>
    <x v="2"/>
    <s v="1º Semestre"/>
    <x v="0"/>
    <x v="2"/>
    <x v="2"/>
  </r>
  <r>
    <n v="46"/>
    <s v="17/03/2025"/>
    <x v="0"/>
    <x v="8"/>
    <x v="11"/>
    <x v="1"/>
    <n v="115"/>
    <n v="5"/>
    <x v="4"/>
    <s v="1º Semestre"/>
    <x v="0"/>
    <x v="2"/>
    <x v="2"/>
  </r>
  <r>
    <n v="47"/>
    <s v="18/03/2025"/>
    <x v="1"/>
    <x v="3"/>
    <x v="12"/>
    <x v="1"/>
    <n v="90"/>
    <n v="5"/>
    <x v="4"/>
    <s v="1º Semestre"/>
    <x v="0"/>
    <x v="2"/>
    <x v="2"/>
  </r>
  <r>
    <n v="48"/>
    <s v="19/03/2025"/>
    <x v="4"/>
    <x v="5"/>
    <x v="6"/>
    <x v="2"/>
    <n v="30"/>
    <n v="6"/>
    <x v="1"/>
    <s v="1º Semestre"/>
    <x v="0"/>
    <x v="2"/>
    <x v="2"/>
  </r>
  <r>
    <n v="49"/>
    <s v="20/03/2025"/>
    <x v="0"/>
    <x v="1"/>
    <x v="13"/>
    <x v="0"/>
    <n v="115"/>
    <n v="2"/>
    <x v="1"/>
    <s v="1º Semestre"/>
    <x v="0"/>
    <x v="2"/>
    <x v="2"/>
  </r>
  <r>
    <n v="50"/>
    <s v="21/03/2025"/>
    <x v="3"/>
    <x v="4"/>
    <x v="9"/>
    <x v="0"/>
    <n v="30"/>
    <n v="2"/>
    <x v="2"/>
    <s v="1º Semestre"/>
    <x v="0"/>
    <x v="2"/>
    <x v="2"/>
  </r>
  <r>
    <n v="51"/>
    <s v="24/03/2025"/>
    <x v="1"/>
    <x v="2"/>
    <x v="2"/>
    <x v="1"/>
    <n v="87"/>
    <n v="7"/>
    <x v="2"/>
    <s v="1º Semestre"/>
    <x v="0"/>
    <x v="2"/>
    <x v="2"/>
  </r>
  <r>
    <n v="52"/>
    <s v="25/03/2025"/>
    <x v="0"/>
    <x v="0"/>
    <x v="0"/>
    <x v="0"/>
    <n v="120"/>
    <n v="4"/>
    <x v="1"/>
    <s v="1º Semestre"/>
    <x v="0"/>
    <x v="2"/>
    <x v="2"/>
  </r>
  <r>
    <n v="53"/>
    <s v="26/03/2025"/>
    <x v="2"/>
    <x v="3"/>
    <x v="3"/>
    <x v="1"/>
    <n v="42"/>
    <n v="5"/>
    <x v="4"/>
    <s v="1º Semestre"/>
    <x v="0"/>
    <x v="2"/>
    <x v="2"/>
  </r>
  <r>
    <n v="54"/>
    <s v="27/03/2025"/>
    <x v="0"/>
    <x v="6"/>
    <x v="7"/>
    <x v="3"/>
    <n v="120"/>
    <n v="1"/>
    <x v="2"/>
    <s v="1º Semestre"/>
    <x v="0"/>
    <x v="2"/>
    <x v="2"/>
  </r>
  <r>
    <n v="55"/>
    <s v="28/03/2025"/>
    <x v="3"/>
    <x v="0"/>
    <x v="5"/>
    <x v="0"/>
    <n v="26"/>
    <n v="3"/>
    <x v="1"/>
    <s v="1º Semestre"/>
    <x v="0"/>
    <x v="2"/>
    <x v="2"/>
  </r>
  <r>
    <n v="56"/>
    <s v="28/03/2025"/>
    <x v="0"/>
    <x v="2"/>
    <x v="2"/>
    <x v="1"/>
    <n v="120"/>
    <n v="6"/>
    <x v="2"/>
    <s v="1º Semestre"/>
    <x v="0"/>
    <x v="2"/>
    <x v="2"/>
  </r>
  <r>
    <n v="57"/>
    <s v="29/03/2025"/>
    <x v="4"/>
    <x v="5"/>
    <x v="6"/>
    <x v="2"/>
    <n v="30"/>
    <n v="5"/>
    <x v="4"/>
    <s v="1º Semestre"/>
    <x v="0"/>
    <x v="2"/>
    <x v="2"/>
  </r>
  <r>
    <n v="58"/>
    <s v="30/03/2025"/>
    <x v="1"/>
    <x v="7"/>
    <x v="8"/>
    <x v="1"/>
    <n v="87"/>
    <n v="3"/>
    <x v="1"/>
    <s v="1º Semestre"/>
    <x v="0"/>
    <x v="2"/>
    <x v="2"/>
  </r>
  <r>
    <n v="59"/>
    <s v="31/03/2025"/>
    <x v="0"/>
    <x v="8"/>
    <x v="11"/>
    <x v="1"/>
    <n v="100"/>
    <n v="4"/>
    <x v="4"/>
    <s v="1º Semestre"/>
    <x v="0"/>
    <x v="2"/>
    <x v="2"/>
  </r>
  <r>
    <n v="60"/>
    <s v="31/03/2025"/>
    <x v="2"/>
    <x v="2"/>
    <x v="10"/>
    <x v="2"/>
    <n v="42"/>
    <n v="8"/>
    <x v="2"/>
    <s v="1º Semestre"/>
    <x v="0"/>
    <x v="2"/>
    <x v="2"/>
  </r>
  <r>
    <n v="61"/>
    <d v="2025-04-02T00:00:00"/>
    <x v="0"/>
    <x v="0"/>
    <x v="0"/>
    <x v="0"/>
    <n v="100"/>
    <n v="4"/>
    <x v="1"/>
    <s v="1º Semestre"/>
    <x v="1"/>
    <x v="3"/>
    <x v="3"/>
  </r>
  <r>
    <n v="62"/>
    <d v="2025-04-03T00:00:00"/>
    <x v="1"/>
    <x v="2"/>
    <x v="2"/>
    <x v="1"/>
    <n v="86"/>
    <n v="7"/>
    <x v="2"/>
    <s v="1º Semestre"/>
    <x v="1"/>
    <x v="3"/>
    <x v="3"/>
  </r>
  <r>
    <n v="63"/>
    <d v="2025-04-04T00:00:00"/>
    <x v="2"/>
    <x v="3"/>
    <x v="3"/>
    <x v="1"/>
    <n v="40"/>
    <n v="5"/>
    <x v="4"/>
    <s v="1º Semestre"/>
    <x v="1"/>
    <x v="3"/>
    <x v="3"/>
  </r>
  <r>
    <n v="64"/>
    <d v="2025-04-07T00:00:00"/>
    <x v="3"/>
    <x v="4"/>
    <x v="4"/>
    <x v="0"/>
    <n v="26"/>
    <n v="2"/>
    <x v="2"/>
    <s v="1º Semestre"/>
    <x v="1"/>
    <x v="3"/>
    <x v="3"/>
  </r>
  <r>
    <n v="65"/>
    <d v="2025-04-08T00:00:00"/>
    <x v="0"/>
    <x v="1"/>
    <x v="1"/>
    <x v="0"/>
    <n v="100"/>
    <n v="2"/>
    <x v="2"/>
    <s v="1º Semestre"/>
    <x v="1"/>
    <x v="3"/>
    <x v="3"/>
  </r>
  <r>
    <n v="66"/>
    <d v="2025-04-09T00:00:00"/>
    <x v="4"/>
    <x v="5"/>
    <x v="6"/>
    <x v="2"/>
    <n v="30"/>
    <n v="5"/>
    <x v="2"/>
    <s v="1º Semestre"/>
    <x v="1"/>
    <x v="3"/>
    <x v="3"/>
  </r>
  <r>
    <n v="67"/>
    <d v="2025-04-10T00:00:00"/>
    <x v="0"/>
    <x v="7"/>
    <x v="8"/>
    <x v="1"/>
    <n v="100"/>
    <n v="3"/>
    <x v="1"/>
    <s v="1º Semestre"/>
    <x v="1"/>
    <x v="3"/>
    <x v="3"/>
  </r>
  <r>
    <n v="68"/>
    <d v="2025-04-11T00:00:00"/>
    <x v="3"/>
    <x v="0"/>
    <x v="5"/>
    <x v="0"/>
    <n v="26"/>
    <n v="3"/>
    <x v="2"/>
    <s v="1º Semestre"/>
    <x v="1"/>
    <x v="3"/>
    <x v="3"/>
  </r>
  <r>
    <n v="69"/>
    <d v="2025-04-14T00:00:00"/>
    <x v="2"/>
    <x v="2"/>
    <x v="10"/>
    <x v="2"/>
    <n v="40"/>
    <n v="8"/>
    <x v="2"/>
    <s v="1º Semestre"/>
    <x v="1"/>
    <x v="3"/>
    <x v="3"/>
  </r>
  <r>
    <n v="70"/>
    <d v="2025-04-15T00:00:00"/>
    <x v="0"/>
    <x v="8"/>
    <x v="11"/>
    <x v="1"/>
    <n v="110"/>
    <n v="4"/>
    <x v="4"/>
    <s v="1º Semestre"/>
    <x v="1"/>
    <x v="3"/>
    <x v="3"/>
  </r>
  <r>
    <n v="71"/>
    <d v="2025-04-16T00:00:00"/>
    <x v="1"/>
    <x v="3"/>
    <x v="12"/>
    <x v="1"/>
    <n v="85"/>
    <n v="4"/>
    <x v="1"/>
    <s v="1º Semestre"/>
    <x v="1"/>
    <x v="3"/>
    <x v="3"/>
  </r>
  <r>
    <n v="72"/>
    <d v="2025-04-17T00:00:00"/>
    <x v="4"/>
    <x v="5"/>
    <x v="6"/>
    <x v="2"/>
    <n v="25"/>
    <n v="5"/>
    <x v="0"/>
    <s v="1º Semestre"/>
    <x v="1"/>
    <x v="3"/>
    <x v="3"/>
  </r>
  <r>
    <n v="73"/>
    <d v="2025-04-22T00:00:00"/>
    <x v="0"/>
    <x v="1"/>
    <x v="13"/>
    <x v="0"/>
    <n v="110"/>
    <n v="2"/>
    <x v="2"/>
    <s v="1º Semestre"/>
    <x v="1"/>
    <x v="3"/>
    <x v="3"/>
  </r>
  <r>
    <n v="74"/>
    <d v="2025-04-23T00:00:00"/>
    <x v="3"/>
    <x v="4"/>
    <x v="9"/>
    <x v="0"/>
    <n v="26"/>
    <n v="2"/>
    <x v="2"/>
    <s v="1º Semestre"/>
    <x v="1"/>
    <x v="3"/>
    <x v="3"/>
  </r>
  <r>
    <n v="75"/>
    <d v="2025-04-24T00:00:00"/>
    <x v="1"/>
    <x v="2"/>
    <x v="2"/>
    <x v="1"/>
    <n v="85"/>
    <n v="6"/>
    <x v="2"/>
    <s v="1º Semestre"/>
    <x v="1"/>
    <x v="3"/>
    <x v="3"/>
  </r>
  <r>
    <n v="76"/>
    <d v="2025-04-25T00:00:00"/>
    <x v="0"/>
    <x v="0"/>
    <x v="0"/>
    <x v="0"/>
    <n v="100"/>
    <n v="3"/>
    <x v="1"/>
    <s v="1º Semestre"/>
    <x v="1"/>
    <x v="3"/>
    <x v="3"/>
  </r>
  <r>
    <n v="77"/>
    <d v="2025-04-28T00:00:00"/>
    <x v="2"/>
    <x v="3"/>
    <x v="3"/>
    <x v="1"/>
    <n v="40"/>
    <n v="5"/>
    <x v="4"/>
    <s v="1º Semestre"/>
    <x v="1"/>
    <x v="3"/>
    <x v="3"/>
  </r>
  <r>
    <n v="78"/>
    <d v="2025-04-29T00:00:00"/>
    <x v="0"/>
    <x v="6"/>
    <x v="7"/>
    <x v="3"/>
    <n v="110"/>
    <n v="1"/>
    <x v="6"/>
    <s v="1º Semestre"/>
    <x v="1"/>
    <x v="3"/>
    <x v="3"/>
  </r>
  <r>
    <n v="79"/>
    <d v="2025-04-29T00:00:00"/>
    <x v="3"/>
    <x v="0"/>
    <x v="5"/>
    <x v="0"/>
    <n v="20"/>
    <n v="2"/>
    <x v="2"/>
    <s v="1º Semestre"/>
    <x v="1"/>
    <x v="3"/>
    <x v="3"/>
  </r>
  <r>
    <n v="80"/>
    <d v="2025-04-30T00:00:00"/>
    <x v="2"/>
    <x v="2"/>
    <x v="10"/>
    <x v="2"/>
    <n v="40"/>
    <n v="7"/>
    <x v="2"/>
    <s v="1º Semestre"/>
    <x v="1"/>
    <x v="3"/>
    <x v="3"/>
  </r>
  <r>
    <n v="81"/>
    <d v="2025-05-02T00:00:00"/>
    <x v="0"/>
    <x v="0"/>
    <x v="0"/>
    <x v="0"/>
    <n v="110"/>
    <n v="3"/>
    <x v="1"/>
    <s v="1º Semestre"/>
    <x v="1"/>
    <x v="4"/>
    <x v="4"/>
  </r>
  <r>
    <n v="82"/>
    <d v="2025-05-05T00:00:00"/>
    <x v="1"/>
    <x v="2"/>
    <x v="2"/>
    <x v="1"/>
    <n v="85"/>
    <n v="6"/>
    <x v="6"/>
    <s v="1º Semestre"/>
    <x v="1"/>
    <x v="4"/>
    <x v="4"/>
  </r>
  <r>
    <n v="83"/>
    <d v="2025-05-06T00:00:00"/>
    <x v="2"/>
    <x v="3"/>
    <x v="3"/>
    <x v="1"/>
    <n v="40"/>
    <n v="5"/>
    <x v="4"/>
    <s v="1º Semestre"/>
    <x v="1"/>
    <x v="4"/>
    <x v="4"/>
  </r>
  <r>
    <n v="84"/>
    <d v="2025-05-07T00:00:00"/>
    <x v="3"/>
    <x v="4"/>
    <x v="4"/>
    <x v="0"/>
    <n v="20"/>
    <n v="2"/>
    <x v="2"/>
    <s v="1º Semestre"/>
    <x v="1"/>
    <x v="4"/>
    <x v="4"/>
  </r>
  <r>
    <n v="85"/>
    <d v="2025-05-08T00:00:00"/>
    <x v="0"/>
    <x v="1"/>
    <x v="1"/>
    <x v="0"/>
    <n v="100"/>
    <n v="2"/>
    <x v="2"/>
    <s v="1º Semestre"/>
    <x v="1"/>
    <x v="4"/>
    <x v="4"/>
  </r>
  <r>
    <n v="86"/>
    <d v="2025-05-09T00:00:00"/>
    <x v="4"/>
    <x v="5"/>
    <x v="6"/>
    <x v="2"/>
    <n v="25"/>
    <n v="6"/>
    <x v="6"/>
    <s v="1º Semestre"/>
    <x v="1"/>
    <x v="4"/>
    <x v="4"/>
  </r>
  <r>
    <n v="87"/>
    <d v="2025-05-12T00:00:00"/>
    <x v="0"/>
    <x v="7"/>
    <x v="8"/>
    <x v="1"/>
    <n v="100"/>
    <n v="3"/>
    <x v="1"/>
    <s v="1º Semestre"/>
    <x v="1"/>
    <x v="4"/>
    <x v="4"/>
  </r>
  <r>
    <n v="88"/>
    <d v="2025-05-13T00:00:00"/>
    <x v="3"/>
    <x v="0"/>
    <x v="5"/>
    <x v="0"/>
    <n v="20"/>
    <n v="2"/>
    <x v="2"/>
    <s v="1º Semestre"/>
    <x v="1"/>
    <x v="4"/>
    <x v="4"/>
  </r>
  <r>
    <n v="89"/>
    <d v="2025-05-14T00:00:00"/>
    <x v="2"/>
    <x v="2"/>
    <x v="10"/>
    <x v="2"/>
    <n v="40"/>
    <n v="7"/>
    <x v="2"/>
    <s v="1º Semestre"/>
    <x v="1"/>
    <x v="4"/>
    <x v="4"/>
  </r>
  <r>
    <n v="90"/>
    <d v="2025-05-15T00:00:00"/>
    <x v="0"/>
    <x v="8"/>
    <x v="11"/>
    <x v="1"/>
    <n v="100"/>
    <n v="4"/>
    <x v="4"/>
    <s v="1º Semestre"/>
    <x v="1"/>
    <x v="4"/>
    <x v="4"/>
  </r>
  <r>
    <n v="91"/>
    <d v="2025-05-16T00:00:00"/>
    <x v="1"/>
    <x v="3"/>
    <x v="12"/>
    <x v="1"/>
    <n v="88"/>
    <n v="4"/>
    <x v="1"/>
    <s v="1º Semestre"/>
    <x v="1"/>
    <x v="4"/>
    <x v="4"/>
  </r>
  <r>
    <n v="92"/>
    <d v="2025-05-19T00:00:00"/>
    <x v="4"/>
    <x v="5"/>
    <x v="6"/>
    <x v="2"/>
    <n v="25"/>
    <n v="6"/>
    <x v="2"/>
    <s v="1º Semestre"/>
    <x v="1"/>
    <x v="4"/>
    <x v="4"/>
  </r>
  <r>
    <n v="93"/>
    <d v="2025-05-20T00:00:00"/>
    <x v="0"/>
    <x v="1"/>
    <x v="13"/>
    <x v="0"/>
    <n v="100"/>
    <n v="2"/>
    <x v="2"/>
    <s v="1º Semestre"/>
    <x v="1"/>
    <x v="4"/>
    <x v="4"/>
  </r>
  <r>
    <n v="94"/>
    <d v="2025-05-21T00:00:00"/>
    <x v="3"/>
    <x v="4"/>
    <x v="9"/>
    <x v="0"/>
    <n v="20"/>
    <n v="2"/>
    <x v="2"/>
    <s v="1º Semestre"/>
    <x v="1"/>
    <x v="4"/>
    <x v="4"/>
  </r>
  <r>
    <n v="95"/>
    <d v="2025-05-22T00:00:00"/>
    <x v="1"/>
    <x v="2"/>
    <x v="2"/>
    <x v="1"/>
    <n v="85"/>
    <n v="6"/>
    <x v="2"/>
    <s v="1º Semestre"/>
    <x v="1"/>
    <x v="4"/>
    <x v="4"/>
  </r>
  <r>
    <n v="96"/>
    <d v="2025-05-23T00:00:00"/>
    <x v="0"/>
    <x v="0"/>
    <x v="0"/>
    <x v="0"/>
    <n v="100"/>
    <n v="3"/>
    <x v="1"/>
    <s v="1º Semestre"/>
    <x v="1"/>
    <x v="4"/>
    <x v="4"/>
  </r>
  <r>
    <n v="97"/>
    <d v="2025-05-26T00:00:00"/>
    <x v="2"/>
    <x v="3"/>
    <x v="3"/>
    <x v="1"/>
    <n v="40"/>
    <n v="4"/>
    <x v="4"/>
    <s v="1º Semestre"/>
    <x v="1"/>
    <x v="4"/>
    <x v="4"/>
  </r>
  <r>
    <n v="98"/>
    <d v="2025-05-27T00:00:00"/>
    <x v="0"/>
    <x v="6"/>
    <x v="7"/>
    <x v="3"/>
    <n v="100"/>
    <n v="1"/>
    <x v="2"/>
    <s v="1º Semestre"/>
    <x v="1"/>
    <x v="4"/>
    <x v="4"/>
  </r>
  <r>
    <n v="99"/>
    <d v="2025-05-28T00:00:00"/>
    <x v="3"/>
    <x v="0"/>
    <x v="5"/>
    <x v="0"/>
    <n v="20"/>
    <n v="2"/>
    <x v="2"/>
    <s v="1º Semestre"/>
    <x v="1"/>
    <x v="4"/>
    <x v="4"/>
  </r>
  <r>
    <n v="100"/>
    <d v="2025-05-30T00:00:00"/>
    <x v="2"/>
    <x v="2"/>
    <x v="10"/>
    <x v="2"/>
    <n v="40"/>
    <n v="6"/>
    <x v="2"/>
    <s v="1º Semestre"/>
    <x v="1"/>
    <x v="4"/>
    <x v="4"/>
  </r>
  <r>
    <n v="101"/>
    <d v="2025-06-02T00:00:00"/>
    <x v="0"/>
    <x v="0"/>
    <x v="0"/>
    <x v="0"/>
    <n v="110"/>
    <n v="2"/>
    <x v="2"/>
    <s v="1º Semestre"/>
    <x v="1"/>
    <x v="5"/>
    <x v="5"/>
  </r>
  <r>
    <n v="102"/>
    <d v="2025-06-03T00:00:00"/>
    <x v="1"/>
    <x v="2"/>
    <x v="2"/>
    <x v="1"/>
    <n v="80"/>
    <n v="5"/>
    <x v="2"/>
    <s v="1º Semestre"/>
    <x v="1"/>
    <x v="5"/>
    <x v="5"/>
  </r>
  <r>
    <n v="103"/>
    <d v="2025-06-04T00:00:00"/>
    <x v="2"/>
    <x v="3"/>
    <x v="3"/>
    <x v="1"/>
    <n v="50"/>
    <n v="4"/>
    <x v="1"/>
    <s v="1º Semestre"/>
    <x v="1"/>
    <x v="5"/>
    <x v="5"/>
  </r>
  <r>
    <n v="104"/>
    <d v="2025-06-05T00:00:00"/>
    <x v="3"/>
    <x v="4"/>
    <x v="4"/>
    <x v="0"/>
    <n v="30"/>
    <n v="1"/>
    <x v="2"/>
    <s v="1º Semestre"/>
    <x v="1"/>
    <x v="5"/>
    <x v="5"/>
  </r>
  <r>
    <n v="105"/>
    <d v="2025-06-06T00:00:00"/>
    <x v="0"/>
    <x v="1"/>
    <x v="1"/>
    <x v="0"/>
    <n v="110"/>
    <n v="2"/>
    <x v="2"/>
    <s v="1º Semestre"/>
    <x v="1"/>
    <x v="5"/>
    <x v="5"/>
  </r>
  <r>
    <n v="106"/>
    <d v="2025-06-09T00:00:00"/>
    <x v="4"/>
    <x v="5"/>
    <x v="6"/>
    <x v="2"/>
    <n v="25"/>
    <n v="5"/>
    <x v="6"/>
    <s v="1º Semestre"/>
    <x v="1"/>
    <x v="5"/>
    <x v="5"/>
  </r>
  <r>
    <n v="107"/>
    <d v="2025-06-10T00:00:00"/>
    <x v="0"/>
    <x v="7"/>
    <x v="8"/>
    <x v="1"/>
    <n v="110"/>
    <n v="2"/>
    <x v="2"/>
    <s v="1º Semestre"/>
    <x v="1"/>
    <x v="5"/>
    <x v="5"/>
  </r>
  <r>
    <n v="108"/>
    <d v="2025-06-11T00:00:00"/>
    <x v="3"/>
    <x v="0"/>
    <x v="5"/>
    <x v="0"/>
    <n v="30"/>
    <n v="2"/>
    <x v="2"/>
    <s v="1º Semestre"/>
    <x v="1"/>
    <x v="5"/>
    <x v="5"/>
  </r>
  <r>
    <n v="109"/>
    <d v="2025-06-12T00:00:00"/>
    <x v="2"/>
    <x v="2"/>
    <x v="10"/>
    <x v="2"/>
    <n v="50"/>
    <n v="6"/>
    <x v="2"/>
    <s v="1º Semestre"/>
    <x v="1"/>
    <x v="5"/>
    <x v="5"/>
  </r>
  <r>
    <n v="110"/>
    <d v="2025-06-13T00:00:00"/>
    <x v="0"/>
    <x v="8"/>
    <x v="11"/>
    <x v="1"/>
    <n v="109"/>
    <n v="3"/>
    <x v="1"/>
    <s v="1º Semestre"/>
    <x v="1"/>
    <x v="5"/>
    <x v="5"/>
  </r>
  <r>
    <n v="111"/>
    <d v="2025-06-16T00:00:00"/>
    <x v="1"/>
    <x v="3"/>
    <x v="12"/>
    <x v="1"/>
    <n v="80"/>
    <n v="3"/>
    <x v="1"/>
    <s v="1º Semestre"/>
    <x v="1"/>
    <x v="5"/>
    <x v="5"/>
  </r>
  <r>
    <n v="112"/>
    <d v="2025-06-17T00:00:00"/>
    <x v="4"/>
    <x v="5"/>
    <x v="6"/>
    <x v="2"/>
    <n v="25"/>
    <n v="5"/>
    <x v="1"/>
    <s v="1º Semestre"/>
    <x v="1"/>
    <x v="5"/>
    <x v="5"/>
  </r>
  <r>
    <n v="113"/>
    <d v="2025-06-18T00:00:00"/>
    <x v="0"/>
    <x v="1"/>
    <x v="13"/>
    <x v="0"/>
    <n v="109"/>
    <n v="2"/>
    <x v="2"/>
    <s v="1º Semestre"/>
    <x v="1"/>
    <x v="5"/>
    <x v="5"/>
  </r>
  <r>
    <n v="114"/>
    <d v="2025-06-20T00:00:00"/>
    <x v="3"/>
    <x v="4"/>
    <x v="9"/>
    <x v="0"/>
    <n v="30"/>
    <n v="1"/>
    <x v="2"/>
    <s v="1º Semestre"/>
    <x v="1"/>
    <x v="5"/>
    <x v="5"/>
  </r>
  <r>
    <n v="115"/>
    <d v="2025-06-23T00:00:00"/>
    <x v="1"/>
    <x v="2"/>
    <x v="2"/>
    <x v="1"/>
    <n v="80"/>
    <n v="5"/>
    <x v="2"/>
    <s v="1º Semestre"/>
    <x v="1"/>
    <x v="5"/>
    <x v="5"/>
  </r>
  <r>
    <n v="116"/>
    <d v="2025-06-24T00:00:00"/>
    <x v="0"/>
    <x v="0"/>
    <x v="0"/>
    <x v="0"/>
    <n v="109"/>
    <n v="2"/>
    <x v="2"/>
    <s v="1º Semestre"/>
    <x v="1"/>
    <x v="5"/>
    <x v="5"/>
  </r>
  <r>
    <n v="117"/>
    <d v="2025-06-25T00:00:00"/>
    <x v="2"/>
    <x v="3"/>
    <x v="3"/>
    <x v="1"/>
    <n v="50"/>
    <n v="4"/>
    <x v="1"/>
    <s v="1º Semestre"/>
    <x v="1"/>
    <x v="5"/>
    <x v="5"/>
  </r>
  <r>
    <n v="118"/>
    <d v="2025-06-26T00:00:00"/>
    <x v="0"/>
    <x v="6"/>
    <x v="7"/>
    <x v="3"/>
    <n v="109"/>
    <n v="1"/>
    <x v="2"/>
    <s v="1º Semestre"/>
    <x v="1"/>
    <x v="5"/>
    <x v="5"/>
  </r>
  <r>
    <n v="119"/>
    <d v="2025-06-27T00:00:00"/>
    <x v="3"/>
    <x v="0"/>
    <x v="5"/>
    <x v="0"/>
    <n v="30"/>
    <n v="2"/>
    <x v="2"/>
    <s v="1º Semestre"/>
    <x v="1"/>
    <x v="5"/>
    <x v="5"/>
  </r>
  <r>
    <n v="120"/>
    <d v="2025-06-30T00:00:00"/>
    <x v="2"/>
    <x v="2"/>
    <x v="10"/>
    <x v="2"/>
    <n v="50"/>
    <n v="5"/>
    <x v="2"/>
    <s v="1º Semestre"/>
    <x v="1"/>
    <x v="5"/>
    <x v="5"/>
  </r>
  <r>
    <n v="121"/>
    <d v="2025-07-02T00:00:00"/>
    <x v="0"/>
    <x v="0"/>
    <x v="0"/>
    <x v="0"/>
    <n v="109"/>
    <n v="2"/>
    <x v="2"/>
    <s v="2º Semestre"/>
    <x v="2"/>
    <x v="6"/>
    <x v="6"/>
  </r>
  <r>
    <n v="122"/>
    <d v="2025-07-03T00:00:00"/>
    <x v="1"/>
    <x v="2"/>
    <x v="2"/>
    <x v="1"/>
    <n v="80"/>
    <n v="5"/>
    <x v="2"/>
    <s v="2º Semestre"/>
    <x v="2"/>
    <x v="6"/>
    <x v="6"/>
  </r>
  <r>
    <n v="123"/>
    <d v="2025-07-04T00:00:00"/>
    <x v="2"/>
    <x v="3"/>
    <x v="3"/>
    <x v="1"/>
    <n v="40"/>
    <n v="4"/>
    <x v="1"/>
    <s v="2º Semestre"/>
    <x v="2"/>
    <x v="6"/>
    <x v="6"/>
  </r>
  <r>
    <n v="124"/>
    <d v="2025-07-07T00:00:00"/>
    <x v="3"/>
    <x v="4"/>
    <x v="4"/>
    <x v="0"/>
    <n v="15"/>
    <n v="1"/>
    <x v="2"/>
    <s v="2º Semestre"/>
    <x v="2"/>
    <x v="6"/>
    <x v="6"/>
  </r>
  <r>
    <n v="125"/>
    <d v="2025-07-08T00:00:00"/>
    <x v="4"/>
    <x v="5"/>
    <x v="6"/>
    <x v="2"/>
    <n v="20"/>
    <n v="7"/>
    <x v="4"/>
    <s v="2º Semestre"/>
    <x v="2"/>
    <x v="6"/>
    <x v="6"/>
  </r>
  <r>
    <n v="126"/>
    <d v="2025-07-09T00:00:00"/>
    <x v="0"/>
    <x v="1"/>
    <x v="1"/>
    <x v="0"/>
    <n v="110"/>
    <n v="2"/>
    <x v="2"/>
    <s v="2º Semestre"/>
    <x v="2"/>
    <x v="6"/>
    <x v="6"/>
  </r>
  <r>
    <n v="127"/>
    <d v="2025-07-10T00:00:00"/>
    <x v="0"/>
    <x v="7"/>
    <x v="8"/>
    <x v="1"/>
    <n v="100"/>
    <n v="2"/>
    <x v="2"/>
    <s v="2º Semestre"/>
    <x v="2"/>
    <x v="6"/>
    <x v="6"/>
  </r>
  <r>
    <n v="128"/>
    <d v="2025-07-11T00:00:00"/>
    <x v="3"/>
    <x v="0"/>
    <x v="5"/>
    <x v="0"/>
    <n v="15"/>
    <n v="2"/>
    <x v="2"/>
    <s v="2º Semestre"/>
    <x v="2"/>
    <x v="6"/>
    <x v="6"/>
  </r>
  <r>
    <n v="129"/>
    <d v="2025-07-14T00:00:00"/>
    <x v="2"/>
    <x v="2"/>
    <x v="10"/>
    <x v="2"/>
    <n v="40"/>
    <n v="5"/>
    <x v="2"/>
    <s v="2º Semestre"/>
    <x v="2"/>
    <x v="6"/>
    <x v="6"/>
  </r>
  <r>
    <n v="130"/>
    <d v="2025-07-15T00:00:00"/>
    <x v="0"/>
    <x v="8"/>
    <x v="11"/>
    <x v="1"/>
    <n v="110"/>
    <n v="3"/>
    <x v="1"/>
    <s v="2º Semestre"/>
    <x v="2"/>
    <x v="6"/>
    <x v="6"/>
  </r>
  <r>
    <n v="131"/>
    <d v="2025-07-16T00:00:00"/>
    <x v="1"/>
    <x v="3"/>
    <x v="12"/>
    <x v="1"/>
    <n v="90"/>
    <n v="3"/>
    <x v="1"/>
    <s v="2º Semestre"/>
    <x v="2"/>
    <x v="6"/>
    <x v="6"/>
  </r>
  <r>
    <n v="132"/>
    <d v="2025-07-17T00:00:00"/>
    <x v="4"/>
    <x v="1"/>
    <x v="13"/>
    <x v="0"/>
    <n v="20"/>
    <n v="5"/>
    <x v="1"/>
    <s v="2º Semestre"/>
    <x v="2"/>
    <x v="6"/>
    <x v="6"/>
  </r>
  <r>
    <n v="133"/>
    <d v="2025-07-21T00:00:00"/>
    <x v="0"/>
    <x v="0"/>
    <x v="0"/>
    <x v="0"/>
    <n v="110"/>
    <n v="2"/>
    <x v="2"/>
    <s v="2º Semestre"/>
    <x v="2"/>
    <x v="6"/>
    <x v="6"/>
  </r>
  <r>
    <n v="134"/>
    <d v="2025-07-22T00:00:00"/>
    <x v="3"/>
    <x v="4"/>
    <x v="9"/>
    <x v="0"/>
    <n v="15"/>
    <n v="1"/>
    <x v="2"/>
    <s v="2º Semestre"/>
    <x v="2"/>
    <x v="6"/>
    <x v="6"/>
  </r>
  <r>
    <n v="135"/>
    <d v="2025-07-23T00:00:00"/>
    <x v="1"/>
    <x v="2"/>
    <x v="2"/>
    <x v="1"/>
    <n v="80"/>
    <n v="5"/>
    <x v="2"/>
    <s v="2º Semestre"/>
    <x v="2"/>
    <x v="6"/>
    <x v="6"/>
  </r>
  <r>
    <n v="136"/>
    <d v="2025-07-24T00:00:00"/>
    <x v="4"/>
    <x v="5"/>
    <x v="6"/>
    <x v="2"/>
    <n v="20"/>
    <n v="8"/>
    <x v="6"/>
    <s v="2º Semestre"/>
    <x v="2"/>
    <x v="6"/>
    <x v="6"/>
  </r>
  <r>
    <n v="137"/>
    <d v="2025-07-25T00:00:00"/>
    <x v="0"/>
    <x v="6"/>
    <x v="7"/>
    <x v="3"/>
    <n v="109"/>
    <n v="1"/>
    <x v="2"/>
    <s v="2º Semestre"/>
    <x v="2"/>
    <x v="6"/>
    <x v="6"/>
  </r>
  <r>
    <n v="138"/>
    <d v="2025-07-28T00:00:00"/>
    <x v="2"/>
    <x v="3"/>
    <x v="3"/>
    <x v="1"/>
    <n v="40"/>
    <n v="4"/>
    <x v="1"/>
    <s v="2º Semestre"/>
    <x v="2"/>
    <x v="6"/>
    <x v="6"/>
  </r>
  <r>
    <n v="139"/>
    <d v="2025-07-29T00:00:00"/>
    <x v="0"/>
    <x v="1"/>
    <x v="1"/>
    <x v="0"/>
    <n v="109"/>
    <n v="2"/>
    <x v="2"/>
    <s v="2º Semestre"/>
    <x v="2"/>
    <x v="6"/>
    <x v="6"/>
  </r>
  <r>
    <n v="140"/>
    <d v="2025-07-30T00:00:00"/>
    <x v="3"/>
    <x v="0"/>
    <x v="5"/>
    <x v="0"/>
    <n v="15"/>
    <n v="2"/>
    <x v="2"/>
    <s v="2º Semestre"/>
    <x v="2"/>
    <x v="6"/>
    <x v="6"/>
  </r>
  <r>
    <n v="141"/>
    <d v="2025-08-01T00:00:00"/>
    <x v="4"/>
    <x v="5"/>
    <x v="6"/>
    <x v="2"/>
    <n v="20"/>
    <n v="9"/>
    <x v="1"/>
    <s v="2º Semestre"/>
    <x v="2"/>
    <x v="7"/>
    <x v="7"/>
  </r>
  <r>
    <n v="142"/>
    <d v="2025-08-04T00:00:00"/>
    <x v="0"/>
    <x v="0"/>
    <x v="0"/>
    <x v="0"/>
    <n v="100"/>
    <n v="2"/>
    <x v="2"/>
    <s v="2º Semestre"/>
    <x v="2"/>
    <x v="7"/>
    <x v="7"/>
  </r>
  <r>
    <n v="143"/>
    <d v="2025-08-05T00:00:00"/>
    <x v="1"/>
    <x v="2"/>
    <x v="2"/>
    <x v="1"/>
    <n v="80"/>
    <n v="4"/>
    <x v="2"/>
    <s v="2º Semestre"/>
    <x v="2"/>
    <x v="7"/>
    <x v="7"/>
  </r>
  <r>
    <n v="144"/>
    <d v="2025-08-06T00:00:00"/>
    <x v="2"/>
    <x v="3"/>
    <x v="3"/>
    <x v="1"/>
    <n v="42"/>
    <n v="4"/>
    <x v="1"/>
    <s v="2º Semestre"/>
    <x v="2"/>
    <x v="7"/>
    <x v="7"/>
  </r>
  <r>
    <n v="145"/>
    <d v="2025-08-07T00:00:00"/>
    <x v="4"/>
    <x v="1"/>
    <x v="13"/>
    <x v="0"/>
    <n v="20"/>
    <n v="6"/>
    <x v="4"/>
    <s v="2º Semestre"/>
    <x v="2"/>
    <x v="7"/>
    <x v="7"/>
  </r>
  <r>
    <n v="146"/>
    <d v="2025-08-08T00:00:00"/>
    <x v="0"/>
    <x v="7"/>
    <x v="8"/>
    <x v="1"/>
    <n v="100"/>
    <n v="2"/>
    <x v="2"/>
    <s v="2º Semestre"/>
    <x v="2"/>
    <x v="7"/>
    <x v="7"/>
  </r>
  <r>
    <n v="147"/>
    <d v="2025-08-11T00:00:00"/>
    <x v="3"/>
    <x v="4"/>
    <x v="4"/>
    <x v="0"/>
    <n v="20"/>
    <n v="1"/>
    <x v="2"/>
    <s v="2º Semestre"/>
    <x v="2"/>
    <x v="7"/>
    <x v="7"/>
  </r>
  <r>
    <n v="148"/>
    <d v="2025-08-12T00:00:00"/>
    <x v="4"/>
    <x v="5"/>
    <x v="6"/>
    <x v="2"/>
    <n v="20"/>
    <n v="10"/>
    <x v="7"/>
    <s v="2º Semestre"/>
    <x v="2"/>
    <x v="7"/>
    <x v="7"/>
  </r>
  <r>
    <n v="149"/>
    <d v="2025-08-13T00:00:00"/>
    <x v="0"/>
    <x v="8"/>
    <x v="11"/>
    <x v="1"/>
    <n v="100"/>
    <n v="3"/>
    <x v="1"/>
    <s v="2º Semestre"/>
    <x v="2"/>
    <x v="7"/>
    <x v="7"/>
  </r>
  <r>
    <n v="150"/>
    <d v="2025-08-14T00:00:00"/>
    <x v="1"/>
    <x v="3"/>
    <x v="12"/>
    <x v="1"/>
    <n v="80"/>
    <n v="3"/>
    <x v="1"/>
    <s v="2º Semestre"/>
    <x v="2"/>
    <x v="7"/>
    <x v="7"/>
  </r>
  <r>
    <n v="151"/>
    <d v="2025-08-15T00:00:00"/>
    <x v="0"/>
    <x v="6"/>
    <x v="7"/>
    <x v="3"/>
    <n v="120"/>
    <n v="1"/>
    <x v="2"/>
    <s v="2º Semestre"/>
    <x v="2"/>
    <x v="7"/>
    <x v="7"/>
  </r>
  <r>
    <n v="152"/>
    <d v="2025-08-18T00:00:00"/>
    <x v="2"/>
    <x v="2"/>
    <x v="10"/>
    <x v="2"/>
    <n v="42"/>
    <n v="5"/>
    <x v="2"/>
    <s v="2º Semestre"/>
    <x v="2"/>
    <x v="7"/>
    <x v="7"/>
  </r>
  <r>
    <n v="153"/>
    <d v="2025-08-19T00:00:00"/>
    <x v="3"/>
    <x v="0"/>
    <x v="5"/>
    <x v="0"/>
    <n v="20"/>
    <n v="2"/>
    <x v="2"/>
    <s v="2º Semestre"/>
    <x v="2"/>
    <x v="7"/>
    <x v="7"/>
  </r>
  <r>
    <n v="154"/>
    <d v="2025-08-20T00:00:00"/>
    <x v="0"/>
    <x v="1"/>
    <x v="1"/>
    <x v="0"/>
    <n v="110"/>
    <n v="2"/>
    <x v="2"/>
    <s v="2º Semestre"/>
    <x v="2"/>
    <x v="7"/>
    <x v="7"/>
  </r>
  <r>
    <n v="155"/>
    <d v="2025-08-21T00:00:00"/>
    <x v="4"/>
    <x v="5"/>
    <x v="6"/>
    <x v="2"/>
    <n v="20"/>
    <n v="9"/>
    <x v="6"/>
    <s v="2º Semestre"/>
    <x v="2"/>
    <x v="7"/>
    <x v="7"/>
  </r>
  <r>
    <n v="156"/>
    <d v="2025-08-22T00:00:00"/>
    <x v="0"/>
    <x v="0"/>
    <x v="0"/>
    <x v="0"/>
    <n v="110"/>
    <n v="2"/>
    <x v="2"/>
    <s v="2º Semestre"/>
    <x v="2"/>
    <x v="7"/>
    <x v="7"/>
  </r>
  <r>
    <n v="157"/>
    <d v="2025-08-25T00:00:00"/>
    <x v="1"/>
    <x v="2"/>
    <x v="2"/>
    <x v="1"/>
    <n v="80"/>
    <n v="4"/>
    <x v="2"/>
    <s v="2º Semestre"/>
    <x v="2"/>
    <x v="7"/>
    <x v="7"/>
  </r>
  <r>
    <n v="158"/>
    <d v="2025-08-26T00:00:00"/>
    <x v="2"/>
    <x v="3"/>
    <x v="3"/>
    <x v="1"/>
    <n v="42"/>
    <n v="3"/>
    <x v="1"/>
    <s v="2º Semestre"/>
    <x v="2"/>
    <x v="7"/>
    <x v="7"/>
  </r>
  <r>
    <n v="159"/>
    <d v="2025-08-27T00:00:00"/>
    <x v="4"/>
    <x v="1"/>
    <x v="13"/>
    <x v="0"/>
    <n v="20"/>
    <n v="5"/>
    <x v="1"/>
    <s v="2º Semestre"/>
    <x v="2"/>
    <x v="7"/>
    <x v="7"/>
  </r>
  <r>
    <n v="160"/>
    <d v="2025-08-29T00:00:00"/>
    <x v="0"/>
    <x v="7"/>
    <x v="8"/>
    <x v="1"/>
    <n v="110"/>
    <n v="2"/>
    <x v="2"/>
    <s v="2º Semestre"/>
    <x v="2"/>
    <x v="7"/>
    <x v="7"/>
  </r>
  <r>
    <n v="161"/>
    <d v="2025-09-01T00:00:00"/>
    <x v="0"/>
    <x v="0"/>
    <x v="0"/>
    <x v="0"/>
    <n v="120"/>
    <n v="2"/>
    <x v="2"/>
    <s v="2º Semestre"/>
    <x v="2"/>
    <x v="8"/>
    <x v="8"/>
  </r>
  <r>
    <n v="162"/>
    <d v="2025-09-02T00:00:00"/>
    <x v="1"/>
    <x v="2"/>
    <x v="2"/>
    <x v="1"/>
    <n v="80"/>
    <n v="4"/>
    <x v="2"/>
    <s v="2º Semestre"/>
    <x v="2"/>
    <x v="8"/>
    <x v="8"/>
  </r>
  <r>
    <n v="163"/>
    <d v="2025-09-03T00:00:00"/>
    <x v="2"/>
    <x v="3"/>
    <x v="3"/>
    <x v="1"/>
    <n v="42"/>
    <n v="3"/>
    <x v="1"/>
    <s v="2º Semestre"/>
    <x v="2"/>
    <x v="8"/>
    <x v="8"/>
  </r>
  <r>
    <n v="164"/>
    <d v="2025-09-04T00:00:00"/>
    <x v="3"/>
    <x v="4"/>
    <x v="4"/>
    <x v="0"/>
    <n v="20"/>
    <n v="1"/>
    <x v="2"/>
    <s v="2º Semestre"/>
    <x v="2"/>
    <x v="8"/>
    <x v="8"/>
  </r>
  <r>
    <n v="165"/>
    <d v="2025-09-05T00:00:00"/>
    <x v="4"/>
    <x v="5"/>
    <x v="6"/>
    <x v="2"/>
    <n v="15"/>
    <n v="8"/>
    <x v="1"/>
    <s v="2º Semestre"/>
    <x v="2"/>
    <x v="8"/>
    <x v="8"/>
  </r>
  <r>
    <n v="166"/>
    <d v="2025-09-08T00:00:00"/>
    <x v="0"/>
    <x v="1"/>
    <x v="1"/>
    <x v="0"/>
    <n v="109"/>
    <n v="2"/>
    <x v="2"/>
    <s v="2º Semestre"/>
    <x v="2"/>
    <x v="8"/>
    <x v="8"/>
  </r>
  <r>
    <n v="167"/>
    <d v="2025-09-09T00:00:00"/>
    <x v="0"/>
    <x v="8"/>
    <x v="11"/>
    <x v="1"/>
    <n v="109"/>
    <n v="3"/>
    <x v="1"/>
    <s v="2º Semestre"/>
    <x v="2"/>
    <x v="8"/>
    <x v="8"/>
  </r>
  <r>
    <n v="168"/>
    <d v="2025-09-10T00:00:00"/>
    <x v="3"/>
    <x v="0"/>
    <x v="5"/>
    <x v="0"/>
    <n v="26"/>
    <n v="2"/>
    <x v="2"/>
    <s v="2º Semestre"/>
    <x v="2"/>
    <x v="8"/>
    <x v="8"/>
  </r>
  <r>
    <n v="169"/>
    <d v="2025-09-11T00:00:00"/>
    <x v="2"/>
    <x v="2"/>
    <x v="10"/>
    <x v="2"/>
    <n v="42"/>
    <n v="4"/>
    <x v="2"/>
    <s v="2º Semestre"/>
    <x v="2"/>
    <x v="8"/>
    <x v="8"/>
  </r>
  <r>
    <n v="170"/>
    <d v="2025-09-12T00:00:00"/>
    <x v="4"/>
    <x v="1"/>
    <x v="13"/>
    <x v="0"/>
    <n v="15"/>
    <n v="5"/>
    <x v="3"/>
    <s v="2º Semestre"/>
    <x v="2"/>
    <x v="8"/>
    <x v="8"/>
  </r>
  <r>
    <n v="171"/>
    <d v="2025-09-15T00:00:00"/>
    <x v="1"/>
    <x v="3"/>
    <x v="12"/>
    <x v="1"/>
    <n v="80"/>
    <n v="3"/>
    <x v="1"/>
    <s v="2º Semestre"/>
    <x v="2"/>
    <x v="8"/>
    <x v="8"/>
  </r>
  <r>
    <n v="172"/>
    <d v="2025-09-16T00:00:00"/>
    <x v="0"/>
    <x v="7"/>
    <x v="8"/>
    <x v="1"/>
    <n v="110"/>
    <n v="2"/>
    <x v="2"/>
    <s v="2º Semestre"/>
    <x v="2"/>
    <x v="8"/>
    <x v="8"/>
  </r>
  <r>
    <n v="173"/>
    <d v="2025-09-17T00:00:00"/>
    <x v="4"/>
    <x v="5"/>
    <x v="6"/>
    <x v="2"/>
    <n v="15"/>
    <n v="7"/>
    <x v="6"/>
    <s v="2º Semestre"/>
    <x v="2"/>
    <x v="8"/>
    <x v="8"/>
  </r>
  <r>
    <n v="174"/>
    <d v="2025-09-18T00:00:00"/>
    <x v="0"/>
    <x v="0"/>
    <x v="0"/>
    <x v="0"/>
    <n v="110"/>
    <n v="2"/>
    <x v="2"/>
    <s v="2º Semestre"/>
    <x v="2"/>
    <x v="8"/>
    <x v="8"/>
  </r>
  <r>
    <n v="175"/>
    <d v="2025-09-19T00:00:00"/>
    <x v="3"/>
    <x v="4"/>
    <x v="9"/>
    <x v="0"/>
    <n v="26"/>
    <n v="1"/>
    <x v="2"/>
    <s v="2º Semestre"/>
    <x v="2"/>
    <x v="8"/>
    <x v="8"/>
  </r>
  <r>
    <n v="176"/>
    <d v="2025-09-22T00:00:00"/>
    <x v="0"/>
    <x v="6"/>
    <x v="7"/>
    <x v="3"/>
    <n v="109"/>
    <n v="1"/>
    <x v="2"/>
    <s v="2º Semestre"/>
    <x v="2"/>
    <x v="8"/>
    <x v="8"/>
  </r>
  <r>
    <n v="177"/>
    <d v="2025-09-23T00:00:00"/>
    <x v="1"/>
    <x v="2"/>
    <x v="2"/>
    <x v="1"/>
    <n v="80"/>
    <n v="4"/>
    <x v="2"/>
    <s v="2º Semestre"/>
    <x v="2"/>
    <x v="8"/>
    <x v="8"/>
  </r>
  <r>
    <n v="178"/>
    <d v="2025-09-24T00:00:00"/>
    <x v="2"/>
    <x v="3"/>
    <x v="3"/>
    <x v="1"/>
    <n v="42"/>
    <n v="3"/>
    <x v="1"/>
    <s v="2º Semestre"/>
    <x v="2"/>
    <x v="8"/>
    <x v="8"/>
  </r>
  <r>
    <n v="179"/>
    <d v="2025-09-25T00:00:00"/>
    <x v="4"/>
    <x v="5"/>
    <x v="6"/>
    <x v="2"/>
    <n v="15"/>
    <n v="8"/>
    <x v="0"/>
    <s v="2º Semestre"/>
    <x v="2"/>
    <x v="8"/>
    <x v="8"/>
  </r>
  <r>
    <n v="180"/>
    <d v="2025-09-29T00:00:00"/>
    <x v="0"/>
    <x v="1"/>
    <x v="1"/>
    <x v="0"/>
    <n v="109"/>
    <n v="2"/>
    <x v="2"/>
    <s v="2º Semestre"/>
    <x v="2"/>
    <x v="8"/>
    <x v="8"/>
  </r>
  <r>
    <n v="181"/>
    <d v="2025-10-02T00:00:00"/>
    <x v="0"/>
    <x v="0"/>
    <x v="0"/>
    <x v="0"/>
    <n v="120"/>
    <n v="2"/>
    <x v="2"/>
    <s v="2º Semestre"/>
    <x v="3"/>
    <x v="9"/>
    <x v="9"/>
  </r>
  <r>
    <n v="182"/>
    <d v="2025-10-03T00:00:00"/>
    <x v="1"/>
    <x v="2"/>
    <x v="2"/>
    <x v="1"/>
    <n v="80"/>
    <n v="4"/>
    <x v="2"/>
    <s v="2º Semestre"/>
    <x v="3"/>
    <x v="9"/>
    <x v="9"/>
  </r>
  <r>
    <n v="183"/>
    <d v="2025-10-06T00:00:00"/>
    <x v="2"/>
    <x v="3"/>
    <x v="3"/>
    <x v="1"/>
    <n v="42"/>
    <n v="3"/>
    <x v="1"/>
    <s v="2º Semestre"/>
    <x v="3"/>
    <x v="9"/>
    <x v="9"/>
  </r>
  <r>
    <n v="184"/>
    <d v="2025-10-07T00:00:00"/>
    <x v="3"/>
    <x v="4"/>
    <x v="4"/>
    <x v="0"/>
    <n v="26"/>
    <n v="1"/>
    <x v="2"/>
    <s v="2º Semestre"/>
    <x v="3"/>
    <x v="9"/>
    <x v="9"/>
  </r>
  <r>
    <n v="185"/>
    <d v="2025-10-08T00:00:00"/>
    <x v="4"/>
    <x v="5"/>
    <x v="6"/>
    <x v="2"/>
    <n v="15"/>
    <n v="7"/>
    <x v="6"/>
    <s v="2º Semestre"/>
    <x v="3"/>
    <x v="9"/>
    <x v="9"/>
  </r>
  <r>
    <n v="186"/>
    <d v="2025-10-09T00:00:00"/>
    <x v="0"/>
    <x v="1"/>
    <x v="1"/>
    <x v="0"/>
    <n v="120"/>
    <n v="2"/>
    <x v="2"/>
    <s v="2º Semestre"/>
    <x v="3"/>
    <x v="9"/>
    <x v="9"/>
  </r>
  <r>
    <n v="187"/>
    <d v="2025-10-10T00:00:00"/>
    <x v="0"/>
    <x v="7"/>
    <x v="8"/>
    <x v="1"/>
    <n v="120"/>
    <n v="2"/>
    <x v="2"/>
    <s v="2º Semestre"/>
    <x v="3"/>
    <x v="9"/>
    <x v="9"/>
  </r>
  <r>
    <n v="188"/>
    <d v="2025-10-13T00:00:00"/>
    <x v="3"/>
    <x v="0"/>
    <x v="5"/>
    <x v="0"/>
    <n v="30"/>
    <n v="2"/>
    <x v="2"/>
    <s v="2º Semestre"/>
    <x v="3"/>
    <x v="9"/>
    <x v="9"/>
  </r>
  <r>
    <n v="189"/>
    <d v="2025-10-14T00:00:00"/>
    <x v="2"/>
    <x v="2"/>
    <x v="10"/>
    <x v="2"/>
    <n v="30"/>
    <n v="4"/>
    <x v="2"/>
    <s v="2º Semestre"/>
    <x v="3"/>
    <x v="9"/>
    <x v="9"/>
  </r>
  <r>
    <n v="190"/>
    <d v="2025-10-15T00:00:00"/>
    <x v="0"/>
    <x v="8"/>
    <x v="11"/>
    <x v="1"/>
    <n v="120"/>
    <n v="3"/>
    <x v="1"/>
    <s v="2º Semestre"/>
    <x v="3"/>
    <x v="9"/>
    <x v="9"/>
  </r>
  <r>
    <n v="191"/>
    <d v="2025-10-16T00:00:00"/>
    <x v="1"/>
    <x v="3"/>
    <x v="12"/>
    <x v="1"/>
    <n v="80"/>
    <n v="3"/>
    <x v="1"/>
    <s v="2º Semestre"/>
    <x v="3"/>
    <x v="9"/>
    <x v="9"/>
  </r>
  <r>
    <n v="192"/>
    <d v="2025-10-17T00:00:00"/>
    <x v="4"/>
    <x v="1"/>
    <x v="13"/>
    <x v="0"/>
    <n v="15"/>
    <n v="4"/>
    <x v="1"/>
    <s v="2º Semestre"/>
    <x v="3"/>
    <x v="9"/>
    <x v="9"/>
  </r>
  <r>
    <n v="193"/>
    <d v="2025-10-20T00:00:00"/>
    <x v="0"/>
    <x v="0"/>
    <x v="0"/>
    <x v="0"/>
    <n v="100"/>
    <n v="2"/>
    <x v="2"/>
    <s v="2º Semestre"/>
    <x v="3"/>
    <x v="9"/>
    <x v="9"/>
  </r>
  <r>
    <n v="194"/>
    <d v="2025-10-21T00:00:00"/>
    <x v="3"/>
    <x v="4"/>
    <x v="9"/>
    <x v="0"/>
    <n v="30"/>
    <n v="1"/>
    <x v="2"/>
    <s v="2º Semestre"/>
    <x v="3"/>
    <x v="9"/>
    <x v="9"/>
  </r>
  <r>
    <n v="195"/>
    <d v="2025-10-22T00:00:00"/>
    <x v="1"/>
    <x v="2"/>
    <x v="2"/>
    <x v="1"/>
    <n v="85"/>
    <n v="4"/>
    <x v="2"/>
    <s v="2º Semestre"/>
    <x v="3"/>
    <x v="9"/>
    <x v="9"/>
  </r>
  <r>
    <n v="196"/>
    <d v="2025-10-23T00:00:00"/>
    <x v="4"/>
    <x v="5"/>
    <x v="6"/>
    <x v="2"/>
    <n v="15"/>
    <n v="7"/>
    <x v="0"/>
    <s v="2º Semestre"/>
    <x v="3"/>
    <x v="9"/>
    <x v="9"/>
  </r>
  <r>
    <n v="197"/>
    <d v="2025-10-24T00:00:00"/>
    <x v="0"/>
    <x v="6"/>
    <x v="7"/>
    <x v="3"/>
    <n v="110"/>
    <n v="1"/>
    <x v="2"/>
    <s v="2º Semestre"/>
    <x v="3"/>
    <x v="9"/>
    <x v="9"/>
  </r>
  <r>
    <n v="198"/>
    <d v="2025-10-27T00:00:00"/>
    <x v="2"/>
    <x v="3"/>
    <x v="3"/>
    <x v="1"/>
    <n v="30"/>
    <n v="3"/>
    <x v="1"/>
    <s v="2º Semestre"/>
    <x v="3"/>
    <x v="9"/>
    <x v="9"/>
  </r>
  <r>
    <n v="199"/>
    <d v="2025-10-28T00:00:00"/>
    <x v="0"/>
    <x v="1"/>
    <x v="1"/>
    <x v="0"/>
    <n v="110"/>
    <n v="2"/>
    <x v="2"/>
    <s v="2º Semestre"/>
    <x v="3"/>
    <x v="9"/>
    <x v="9"/>
  </r>
  <r>
    <n v="200"/>
    <d v="2025-10-30T00:00:00"/>
    <x v="3"/>
    <x v="0"/>
    <x v="5"/>
    <x v="0"/>
    <n v="30"/>
    <n v="2"/>
    <x v="2"/>
    <s v="2º Semestre"/>
    <x v="3"/>
    <x v="9"/>
    <x v="9"/>
  </r>
  <r>
    <n v="201"/>
    <d v="2025-11-03T00:00:00"/>
    <x v="0"/>
    <x v="0"/>
    <x v="0"/>
    <x v="0"/>
    <n v="110"/>
    <n v="1"/>
    <x v="2"/>
    <s v="2º Semestre"/>
    <x v="3"/>
    <x v="10"/>
    <x v="10"/>
  </r>
  <r>
    <n v="202"/>
    <d v="2025-11-04T00:00:00"/>
    <x v="1"/>
    <x v="2"/>
    <x v="2"/>
    <x v="1"/>
    <n v="85"/>
    <n v="3"/>
    <x v="2"/>
    <s v="2º Semestre"/>
    <x v="3"/>
    <x v="10"/>
    <x v="10"/>
  </r>
  <r>
    <n v="203"/>
    <d v="2025-11-05T00:00:00"/>
    <x v="2"/>
    <x v="3"/>
    <x v="3"/>
    <x v="1"/>
    <n v="30"/>
    <n v="3"/>
    <x v="1"/>
    <s v="2º Semestre"/>
    <x v="3"/>
    <x v="10"/>
    <x v="10"/>
  </r>
  <r>
    <n v="204"/>
    <d v="2025-11-06T00:00:00"/>
    <x v="3"/>
    <x v="4"/>
    <x v="4"/>
    <x v="0"/>
    <n v="26"/>
    <n v="1"/>
    <x v="2"/>
    <s v="2º Semestre"/>
    <x v="3"/>
    <x v="10"/>
    <x v="10"/>
  </r>
  <r>
    <n v="205"/>
    <d v="2025-11-07T00:00:00"/>
    <x v="4"/>
    <x v="5"/>
    <x v="6"/>
    <x v="2"/>
    <n v="10"/>
    <n v="6"/>
    <x v="1"/>
    <s v="2º Semestre"/>
    <x v="3"/>
    <x v="10"/>
    <x v="10"/>
  </r>
  <r>
    <n v="206"/>
    <d v="2025-11-10T00:00:00"/>
    <x v="0"/>
    <x v="1"/>
    <x v="1"/>
    <x v="0"/>
    <n v="109"/>
    <n v="2"/>
    <x v="2"/>
    <s v="2º Semestre"/>
    <x v="3"/>
    <x v="10"/>
    <x v="10"/>
  </r>
  <r>
    <n v="207"/>
    <d v="2025-11-11T00:00:00"/>
    <x v="0"/>
    <x v="7"/>
    <x v="8"/>
    <x v="1"/>
    <n v="109"/>
    <n v="2"/>
    <x v="2"/>
    <s v="2º Semestre"/>
    <x v="3"/>
    <x v="10"/>
    <x v="10"/>
  </r>
  <r>
    <n v="208"/>
    <d v="2025-11-12T00:00:00"/>
    <x v="3"/>
    <x v="0"/>
    <x v="5"/>
    <x v="0"/>
    <n v="20"/>
    <n v="1"/>
    <x v="2"/>
    <s v="2º Semestre"/>
    <x v="3"/>
    <x v="10"/>
    <x v="10"/>
  </r>
  <r>
    <n v="209"/>
    <d v="2025-11-13T00:00:00"/>
    <x v="2"/>
    <x v="2"/>
    <x v="10"/>
    <x v="2"/>
    <n v="30"/>
    <n v="4"/>
    <x v="2"/>
    <s v="2º Semestre"/>
    <x v="3"/>
    <x v="10"/>
    <x v="10"/>
  </r>
  <r>
    <n v="210"/>
    <d v="2025-11-14T00:00:00"/>
    <x v="0"/>
    <x v="8"/>
    <x v="11"/>
    <x v="1"/>
    <n v="110"/>
    <n v="2"/>
    <x v="1"/>
    <s v="2º Semestre"/>
    <x v="3"/>
    <x v="10"/>
    <x v="10"/>
  </r>
  <r>
    <n v="211"/>
    <d v="2025-11-17T00:00:00"/>
    <x v="1"/>
    <x v="3"/>
    <x v="12"/>
    <x v="1"/>
    <n v="85"/>
    <n v="2"/>
    <x v="1"/>
    <s v="2º Semestre"/>
    <x v="3"/>
    <x v="10"/>
    <x v="10"/>
  </r>
  <r>
    <n v="212"/>
    <d v="2025-11-18T00:00:00"/>
    <x v="4"/>
    <x v="1"/>
    <x v="13"/>
    <x v="0"/>
    <n v="10"/>
    <n v="4"/>
    <x v="1"/>
    <s v="2º Semestre"/>
    <x v="3"/>
    <x v="10"/>
    <x v="10"/>
  </r>
  <r>
    <n v="213"/>
    <d v="2025-11-19T00:00:00"/>
    <x v="0"/>
    <x v="0"/>
    <x v="0"/>
    <x v="0"/>
    <n v="110"/>
    <n v="1"/>
    <x v="2"/>
    <s v="2º Semestre"/>
    <x v="3"/>
    <x v="10"/>
    <x v="10"/>
  </r>
  <r>
    <n v="214"/>
    <d v="2025-11-20T00:00:00"/>
    <x v="3"/>
    <x v="4"/>
    <x v="9"/>
    <x v="0"/>
    <n v="30"/>
    <n v="1"/>
    <x v="2"/>
    <s v="2º Semestre"/>
    <x v="3"/>
    <x v="10"/>
    <x v="10"/>
  </r>
  <r>
    <n v="215"/>
    <d v="2025-11-21T00:00:00"/>
    <x v="1"/>
    <x v="2"/>
    <x v="2"/>
    <x v="1"/>
    <n v="85"/>
    <n v="3"/>
    <x v="2"/>
    <s v="2º Semestre"/>
    <x v="3"/>
    <x v="10"/>
    <x v="10"/>
  </r>
  <r>
    <n v="216"/>
    <d v="2025-11-24T00:00:00"/>
    <x v="4"/>
    <x v="5"/>
    <x v="6"/>
    <x v="2"/>
    <n v="10"/>
    <n v="6"/>
    <x v="6"/>
    <s v="2º Semestre"/>
    <x v="3"/>
    <x v="10"/>
    <x v="10"/>
  </r>
  <r>
    <n v="217"/>
    <d v="2025-11-25T00:00:00"/>
    <x v="0"/>
    <x v="6"/>
    <x v="7"/>
    <x v="3"/>
    <n v="120"/>
    <n v="1"/>
    <x v="2"/>
    <s v="2º Semestre"/>
    <x v="3"/>
    <x v="10"/>
    <x v="10"/>
  </r>
  <r>
    <n v="218"/>
    <d v="2025-11-26T00:00:00"/>
    <x v="2"/>
    <x v="3"/>
    <x v="3"/>
    <x v="1"/>
    <n v="50"/>
    <n v="3"/>
    <x v="1"/>
    <s v="2º Semestre"/>
    <x v="3"/>
    <x v="10"/>
    <x v="10"/>
  </r>
  <r>
    <n v="219"/>
    <d v="2025-11-27T00:00:00"/>
    <x v="0"/>
    <x v="1"/>
    <x v="1"/>
    <x v="0"/>
    <n v="120"/>
    <n v="2"/>
    <x v="2"/>
    <s v="2º Semestre"/>
    <x v="3"/>
    <x v="10"/>
    <x v="10"/>
  </r>
  <r>
    <n v="220"/>
    <d v="2025-11-28T00:00:00"/>
    <x v="3"/>
    <x v="0"/>
    <x v="5"/>
    <x v="0"/>
    <n v="26"/>
    <n v="1"/>
    <x v="2"/>
    <s v="2º Semestre"/>
    <x v="3"/>
    <x v="10"/>
    <x v="10"/>
  </r>
  <r>
    <n v="221"/>
    <d v="2025-12-01T00:00:00"/>
    <x v="0"/>
    <x v="0"/>
    <x v="0"/>
    <x v="0"/>
    <n v="110"/>
    <n v="1"/>
    <x v="2"/>
    <s v="2º Semestre"/>
    <x v="3"/>
    <x v="11"/>
    <x v="11"/>
  </r>
  <r>
    <n v="222"/>
    <d v="2025-12-02T00:00:00"/>
    <x v="1"/>
    <x v="2"/>
    <x v="2"/>
    <x v="1"/>
    <n v="85"/>
    <n v="3"/>
    <x v="2"/>
    <s v="2º Semestre"/>
    <x v="3"/>
    <x v="11"/>
    <x v="11"/>
  </r>
  <r>
    <n v="223"/>
    <d v="2025-12-03T00:00:00"/>
    <x v="2"/>
    <x v="3"/>
    <x v="3"/>
    <x v="1"/>
    <n v="50"/>
    <n v="2"/>
    <x v="2"/>
    <s v="2º Semestre"/>
    <x v="3"/>
    <x v="11"/>
    <x v="11"/>
  </r>
  <r>
    <n v="224"/>
    <d v="2025-12-04T00:00:00"/>
    <x v="3"/>
    <x v="4"/>
    <x v="4"/>
    <x v="0"/>
    <n v="26"/>
    <n v="1"/>
    <x v="2"/>
    <s v="2º Semestre"/>
    <x v="3"/>
    <x v="11"/>
    <x v="11"/>
  </r>
  <r>
    <n v="225"/>
    <d v="2025-12-05T00:00:00"/>
    <x v="4"/>
    <x v="5"/>
    <x v="6"/>
    <x v="2"/>
    <n v="10"/>
    <n v="5"/>
    <x v="4"/>
    <s v="2º Semestre"/>
    <x v="3"/>
    <x v="11"/>
    <x v="11"/>
  </r>
  <r>
    <n v="226"/>
    <d v="2025-12-08T00:00:00"/>
    <x v="0"/>
    <x v="1"/>
    <x v="1"/>
    <x v="0"/>
    <n v="110"/>
    <n v="1"/>
    <x v="2"/>
    <s v="2º Semestre"/>
    <x v="3"/>
    <x v="11"/>
    <x v="11"/>
  </r>
  <r>
    <n v="227"/>
    <d v="2025-12-09T00:00:00"/>
    <x v="0"/>
    <x v="7"/>
    <x v="8"/>
    <x v="1"/>
    <n v="110"/>
    <n v="2"/>
    <x v="2"/>
    <s v="2º Semestre"/>
    <x v="3"/>
    <x v="11"/>
    <x v="11"/>
  </r>
  <r>
    <n v="228"/>
    <d v="2025-12-10T00:00:00"/>
    <x v="3"/>
    <x v="0"/>
    <x v="5"/>
    <x v="0"/>
    <n v="30"/>
    <n v="1"/>
    <x v="2"/>
    <s v="2º Semestre"/>
    <x v="3"/>
    <x v="11"/>
    <x v="11"/>
  </r>
  <r>
    <n v="229"/>
    <d v="2025-12-11T00:00:00"/>
    <x v="2"/>
    <x v="2"/>
    <x v="10"/>
    <x v="2"/>
    <n v="50"/>
    <n v="3"/>
    <x v="2"/>
    <s v="2º Semestre"/>
    <x v="3"/>
    <x v="11"/>
    <x v="11"/>
  </r>
  <r>
    <n v="230"/>
    <d v="2025-12-12T00:00:00"/>
    <x v="0"/>
    <x v="8"/>
    <x v="11"/>
    <x v="1"/>
    <n v="100"/>
    <n v="2"/>
    <x v="2"/>
    <s v="2º Semestre"/>
    <x v="3"/>
    <x v="11"/>
    <x v="11"/>
  </r>
  <r>
    <n v="231"/>
    <d v="2025-12-15T00:00:00"/>
    <x v="1"/>
    <x v="3"/>
    <x v="12"/>
    <x v="1"/>
    <n v="85"/>
    <n v="2"/>
    <x v="2"/>
    <s v="2º Semestre"/>
    <x v="3"/>
    <x v="11"/>
    <x v="11"/>
  </r>
  <r>
    <n v="232"/>
    <d v="2025-12-16T00:00:00"/>
    <x v="4"/>
    <x v="1"/>
    <x v="13"/>
    <x v="0"/>
    <n v="10"/>
    <n v="3"/>
    <x v="4"/>
    <s v="2º Semestre"/>
    <x v="3"/>
    <x v="11"/>
    <x v="11"/>
  </r>
  <r>
    <n v="233"/>
    <d v="2025-12-17T00:00:00"/>
    <x v="0"/>
    <x v="0"/>
    <x v="0"/>
    <x v="0"/>
    <n v="100"/>
    <n v="1"/>
    <x v="2"/>
    <s v="2º Semestre"/>
    <x v="3"/>
    <x v="11"/>
    <x v="11"/>
  </r>
  <r>
    <n v="234"/>
    <d v="2025-12-18T00:00:00"/>
    <x v="3"/>
    <x v="4"/>
    <x v="9"/>
    <x v="0"/>
    <n v="20"/>
    <n v="1"/>
    <x v="2"/>
    <s v="2º Semestre"/>
    <x v="3"/>
    <x v="11"/>
    <x v="11"/>
  </r>
  <r>
    <n v="235"/>
    <d v="2025-12-19T00:00:00"/>
    <x v="1"/>
    <x v="2"/>
    <x v="2"/>
    <x v="1"/>
    <n v="80"/>
    <n v="3"/>
    <x v="2"/>
    <s v="2º Semestre"/>
    <x v="3"/>
    <x v="11"/>
    <x v="11"/>
  </r>
  <r>
    <n v="236"/>
    <d v="2025-12-22T00:00:00"/>
    <x v="4"/>
    <x v="5"/>
    <x v="6"/>
    <x v="2"/>
    <n v="10"/>
    <n v="5"/>
    <x v="1"/>
    <s v="2º Semestre"/>
    <x v="3"/>
    <x v="11"/>
    <x v="11"/>
  </r>
  <r>
    <n v="237"/>
    <d v="2025-12-23T00:00:00"/>
    <x v="0"/>
    <x v="6"/>
    <x v="7"/>
    <x v="3"/>
    <n v="100"/>
    <n v="1"/>
    <x v="2"/>
    <s v="2º Semestre"/>
    <x v="3"/>
    <x v="11"/>
    <x v="11"/>
  </r>
  <r>
    <n v="238"/>
    <d v="2025-12-26T00:00:00"/>
    <x v="2"/>
    <x v="3"/>
    <x v="3"/>
    <x v="1"/>
    <n v="50"/>
    <n v="2"/>
    <x v="2"/>
    <s v="2º Semestre"/>
    <x v="3"/>
    <x v="11"/>
    <x v="11"/>
  </r>
  <r>
    <n v="239"/>
    <d v="2025-12-29T00:00:00"/>
    <x v="0"/>
    <x v="1"/>
    <x v="1"/>
    <x v="0"/>
    <n v="100"/>
    <n v="1"/>
    <x v="2"/>
    <s v="2º Semestre"/>
    <x v="3"/>
    <x v="11"/>
    <x v="11"/>
  </r>
  <r>
    <n v="240"/>
    <d v="2025-12-30T00:00:00"/>
    <x v="3"/>
    <x v="0"/>
    <x v="5"/>
    <x v="0"/>
    <n v="20"/>
    <n v="1"/>
    <x v="2"/>
    <s v="2º Semestre"/>
    <x v="3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224B6-F8DF-4E12-BF93-C89F27651A51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C1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Defeito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A07CE-1BC6-4E5A-B3B2-BEBFC9098DF0}" name="Tabela dinâmica8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10:O19" firstHeaderRow="1" firstDataRow="1" firstDataCol="1"/>
  <pivotFields count="13">
    <pivotField dataField="1" showAll="0"/>
    <pivotField showAll="0"/>
    <pivotField showAll="0"/>
    <pivotField showAll="0">
      <items count="10">
        <item x="3"/>
        <item x="7"/>
        <item x="8"/>
        <item x="1"/>
        <item x="5"/>
        <item x="0"/>
        <item x="2"/>
        <item x="4"/>
        <item x="6"/>
        <item t="default"/>
      </items>
    </pivotField>
    <pivotField showAll="0"/>
    <pivotField showAll="0"/>
    <pivotField showAll="0"/>
    <pivotField showAll="0"/>
    <pivotField axis="axisRow" showAll="0">
      <items count="9">
        <item x="6"/>
        <item x="2"/>
        <item x="1"/>
        <item x="4"/>
        <item x="0"/>
        <item x="3"/>
        <item x="5"/>
        <item x="7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27DEB-8796-4832-A660-9530212E062D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Área">
  <location ref="K2:L12" firstHeaderRow="1" firstDataRow="1" firstDataCol="1"/>
  <pivotFields count="13">
    <pivotField showAll="0"/>
    <pivotField showAll="0"/>
    <pivotField showAll="0"/>
    <pivotField axis="axisRow" showAll="0" sortType="descending">
      <items count="10">
        <item x="3"/>
        <item x="7"/>
        <item x="8"/>
        <item x="1"/>
        <item x="5"/>
        <item x="0"/>
        <item x="2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3"/>
  </rowFields>
  <rowItems count="10">
    <i>
      <x v="5"/>
    </i>
    <i>
      <x v="6"/>
    </i>
    <i>
      <x/>
    </i>
    <i>
      <x v="3"/>
    </i>
    <i>
      <x v="4"/>
    </i>
    <i>
      <x v="7"/>
    </i>
    <i>
      <x v="1"/>
    </i>
    <i>
      <x v="2"/>
    </i>
    <i>
      <x v="8"/>
    </i>
    <i t="grand">
      <x/>
    </i>
  </rowItems>
  <colItems count="1">
    <i/>
  </colItems>
  <dataFields count="1">
    <dataField name="Contagem de Defeitos" fld="7" subtotal="count" baseField="3" baseItem="0"/>
  </dataFields>
  <formats count="6">
    <format dxfId="390">
      <pivotArea type="all" dataOnly="0" outline="0" fieldPosition="0"/>
    </format>
    <format dxfId="391">
      <pivotArea outline="0" collapsedLevelsAreSubtotals="1" fieldPosition="0"/>
    </format>
    <format dxfId="392">
      <pivotArea field="3" type="button" dataOnly="0" labelOnly="1" outline="0" axis="axisRow" fieldPosition="0"/>
    </format>
    <format dxfId="393">
      <pivotArea dataOnly="0" labelOnly="1" fieldPosition="0">
        <references count="1">
          <reference field="3" count="0"/>
        </references>
      </pivotArea>
    </format>
    <format dxfId="394">
      <pivotArea dataOnly="0" labelOnly="1" grandRow="1" outline="0" fieldPosition="0"/>
    </format>
    <format dxfId="395">
      <pivotArea dataOnly="0" labelOnly="1" outline="0" axis="axisValues" fieldPosition="0"/>
    </format>
  </format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0FA31-9DBE-4E77-8872-B9F93DA07A12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1" rowHeaderCaption="Problemas">
  <location ref="H2:I17" firstHeaderRow="1" firstDataRow="1" firstDataCol="1"/>
  <pivotFields count="13">
    <pivotField showAll="0"/>
    <pivotField showAll="0"/>
    <pivotField showAll="0"/>
    <pivotField showAll="0">
      <items count="10">
        <item x="3"/>
        <item x="7"/>
        <item x="8"/>
        <item x="1"/>
        <item x="5"/>
        <item x="0"/>
        <item x="2"/>
        <item x="4"/>
        <item x="6"/>
        <item t="default"/>
      </items>
    </pivotField>
    <pivotField axis="axisRow" showAll="0" sortType="descending">
      <items count="15">
        <item x="7"/>
        <item x="8"/>
        <item x="6"/>
        <item x="2"/>
        <item x="12"/>
        <item x="13"/>
        <item x="1"/>
        <item x="5"/>
        <item x="10"/>
        <item x="3"/>
        <item x="11"/>
        <item x="0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4"/>
  </rowFields>
  <rowItems count="15">
    <i>
      <x v="2"/>
    </i>
    <i>
      <x v="3"/>
    </i>
    <i>
      <x v="11"/>
    </i>
    <i>
      <x v="9"/>
    </i>
    <i>
      <x v="7"/>
    </i>
    <i>
      <x v="6"/>
    </i>
    <i>
      <x v="8"/>
    </i>
    <i>
      <x v="1"/>
    </i>
    <i>
      <x v="10"/>
    </i>
    <i>
      <x v="5"/>
    </i>
    <i>
      <x v="13"/>
    </i>
    <i>
      <x/>
    </i>
    <i>
      <x v="4"/>
    </i>
    <i>
      <x v="12"/>
    </i>
    <i t="grand">
      <x/>
    </i>
  </rowItems>
  <colItems count="1">
    <i/>
  </colItems>
  <dataFields count="1">
    <dataField name="Contagem de Defeitos" fld="7" subtotal="count" baseField="4" baseItem="0"/>
  </dataFields>
  <formats count="6">
    <format dxfId="396">
      <pivotArea type="all" dataOnly="0" outline="0" fieldPosition="0"/>
    </format>
    <format dxfId="397">
      <pivotArea outline="0" collapsedLevelsAreSubtotals="1" fieldPosition="0"/>
    </format>
    <format dxfId="398">
      <pivotArea field="4" type="button" dataOnly="0" labelOnly="1" outline="0" axis="axisRow" fieldPosition="0"/>
    </format>
    <format dxfId="399">
      <pivotArea dataOnly="0" labelOnly="1" fieldPosition="0">
        <references count="1">
          <reference field="4" count="0"/>
        </references>
      </pivotArea>
    </format>
    <format dxfId="400">
      <pivotArea dataOnly="0" labelOnly="1" grandRow="1" outline="0" fieldPosition="0"/>
    </format>
    <format dxfId="40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13E28-4C16-4EB8-B1DB-784A3B1CEEFE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odelos">
  <location ref="E2:F8" firstHeaderRow="1" firstDataRow="1" firstDataCol="1"/>
  <pivotFields count="13">
    <pivotField showAll="0"/>
    <pivotField showAll="0"/>
    <pivotField axis="axisRow" showAll="0" sortType="descending">
      <items count="6">
        <item x="4"/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">
        <item x="3"/>
        <item x="7"/>
        <item x="8"/>
        <item x="1"/>
        <item x="5"/>
        <item x="0"/>
        <item x="2"/>
        <item x="4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2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Contagem de Defeitos" fld="7" subtotal="count" baseField="2" baseItem="0"/>
  </dataFields>
  <formats count="6">
    <format dxfId="402">
      <pivotArea type="all" dataOnly="0" outline="0" fieldPosition="0"/>
    </format>
    <format dxfId="403">
      <pivotArea outline="0" collapsedLevelsAreSubtotals="1" fieldPosition="0"/>
    </format>
    <format dxfId="404">
      <pivotArea field="2" type="button" dataOnly="0" labelOnly="1" outline="0" axis="axisRow" fieldPosition="0"/>
    </format>
    <format dxfId="405">
      <pivotArea dataOnly="0" labelOnly="1" fieldPosition="0">
        <references count="1">
          <reference field="2" count="0"/>
        </references>
      </pivotArea>
    </format>
    <format dxfId="406">
      <pivotArea dataOnly="0" labelOnly="1" grandRow="1" outline="0" fieldPosition="0"/>
    </format>
    <format dxfId="4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9C903-8E32-4CDA-8E96-1FD1CC44C706}" name="Tabela dinâmica6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1:R6" firstHeaderRow="1" firstDataRow="1" firstDataCol="1"/>
  <pivotFields count="13">
    <pivotField showAll="0"/>
    <pivotField showAll="0"/>
    <pivotField showAll="0"/>
    <pivotField dataField="1" showAll="0">
      <items count="10">
        <item x="3"/>
        <item x="7"/>
        <item x="8"/>
        <item x="1"/>
        <item x="5"/>
        <item x="0"/>
        <item x="2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Área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7B5F6-163E-4BD6-8449-45220B40D8A8}" name="Tabela dinâ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2:O7" firstHeaderRow="1" firstDataRow="1" firstDataCol="1"/>
  <pivotFields count="13">
    <pivotField showAll="0"/>
    <pivotField showAll="0"/>
    <pivotField showAll="0"/>
    <pivotField showAll="0">
      <items count="10">
        <item x="3"/>
        <item x="7"/>
        <item x="8"/>
        <item x="1"/>
        <item x="5"/>
        <item x="0"/>
        <item x="2"/>
        <item x="4"/>
        <item x="6"/>
        <item t="default"/>
      </items>
    </pivotField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5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Contagem de Defeitos" fld="7" subtotal="count" baseField="5" baseItem="0"/>
  </dataFields>
  <formats count="6">
    <format dxfId="384">
      <pivotArea type="all" dataOnly="0" outline="0" fieldPosition="0"/>
    </format>
    <format dxfId="385">
      <pivotArea outline="0" collapsedLevelsAreSubtotals="1" fieldPosition="0"/>
    </format>
    <format dxfId="386">
      <pivotArea field="5" type="button" dataOnly="0" labelOnly="1" outline="0" axis="axisRow" fieldPosition="0"/>
    </format>
    <format dxfId="387">
      <pivotArea dataOnly="0" labelOnly="1" fieldPosition="0">
        <references count="1">
          <reference field="5" count="0"/>
        </references>
      </pivotArea>
    </format>
    <format dxfId="388">
      <pivotArea dataOnly="0" labelOnly="1" grandRow="1" outline="0" fieldPosition="0"/>
    </format>
    <format dxfId="3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imestre" xr10:uid="{22677715-D2B7-4BD4-A70C-BAF8F3956B37}" sourceName="Trimestre">
  <pivotTables>
    <pivotTable tabId="2" name="Tabela dinâmica6"/>
    <pivotTable tabId="2" name="Tabela dinâmica2"/>
    <pivotTable tabId="2" name="Tabela dinâmica3"/>
    <pivotTable tabId="2" name="Tabela dinâmica4"/>
    <pivotTable tabId="2" name="Tabela dinâmica5"/>
    <pivotTable tabId="2" name="Tabela dinâmica8"/>
  </pivotTables>
  <data>
    <tabular pivotCacheId="108940106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94444190-CE4E-4CF3-A8DC-44CA8821097A}" sourceName="Área">
  <pivotTables>
    <pivotTable tabId="2" name="Tabela dinâmica6"/>
    <pivotTable tabId="2" name="Tabela dinâmica2"/>
    <pivotTable tabId="2" name="Tabela dinâmica3"/>
    <pivotTable tabId="2" name="Tabela dinâmica4"/>
    <pivotTable tabId="2" name="Tabela dinâmica5"/>
    <pivotTable tabId="2" name="Tabela dinâmica8"/>
  </pivotTables>
  <data>
    <tabular pivotCacheId="108940106">
      <items count="9">
        <i x="3" s="1"/>
        <i x="7" s="1"/>
        <i x="8" s="1"/>
        <i x="1" s="1"/>
        <i x="5" s="1"/>
        <i x="0" s="1"/>
        <i x="2" s="1"/>
        <i x="4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 1" xr10:uid="{D686FCD0-F1A6-4DAF-8EFF-CC6DE8958AC0}" cache="SegmentaçãodeDados_Trimestre" caption="Trimestre" columnCount="2" showCaption="0" style="Estilo Dashboard" rowHeight="247650"/>
  <slicer name="Área 1" xr10:uid="{A40D3F8C-A8BC-4379-B897-4EFCFEC90A12}" cache="SegmentaçãodeDados_Área" caption="Área" showCaption="0" style="Estilo Dashboard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F4F32-B10B-463B-9C01-14E85964D2D0}" name="Tb.qualidade" displayName="Tb.qualidade" ref="B1:N241" totalsRowShown="0" headerRowDxfId="1119" dataDxfId="1118">
  <autoFilter ref="B1:N241" xr:uid="{C92F4F32-B10B-463B-9C01-14E85964D2D0}"/>
  <tableColumns count="13">
    <tableColumn id="1" xr3:uid="{A63ADE69-3ABE-41A2-B67D-31635CBE9027}" name="ID" dataDxfId="1117"/>
    <tableColumn id="2" xr3:uid="{6F163294-0E76-4CDE-B864-66255C9EB415}" name="Data" dataDxfId="1116"/>
    <tableColumn id="3" xr3:uid="{5D727ED5-9498-4F98-805A-F2F7EFDC5381}" name="Modelo" dataDxfId="1115"/>
    <tableColumn id="4" xr3:uid="{A6B563EC-6EFF-4987-9037-00AD17A72721}" name="Área" dataDxfId="1114"/>
    <tableColumn id="5" xr3:uid="{CA0E3582-513D-4995-90FE-641573EC7222}" name="Problema" dataDxfId="1113"/>
    <tableColumn id="6" xr3:uid="{4B0B5C34-346E-4376-8CAF-485A578126A4}" name="Gravidade" dataDxfId="1112"/>
    <tableColumn id="7" xr3:uid="{87A5C3EE-62B4-4E3D-AA0B-B672B72C4D22}" name="Produção" dataDxfId="1111"/>
    <tableColumn id="8" xr3:uid="{689A1BFF-3765-42BC-B421-0D5F7741057F}" name="Defeitos" dataDxfId="1110"/>
    <tableColumn id="9" xr3:uid="{AF07F901-98E9-4472-BC6D-F05A73267719}" name="Pós-venda" dataDxfId="1109"/>
    <tableColumn id="10" xr3:uid="{CFC32DD3-C128-4EEB-A3A6-F0521EBBE220}" name="Semestre" dataDxfId="1108">
      <calculatedColumnFormula>IF(MONTH(M2 &amp; " 1")&lt;=6, "1º Semestre", "2º Semestre")</calculatedColumnFormula>
    </tableColumn>
    <tableColumn id="11" xr3:uid="{6B413DEB-0B7F-4E86-9BC3-299FD6785407}" name="Trimestre" dataDxfId="1107">
      <calculatedColumnFormula>"T"&amp;ROUNDUP(VALUE(N2)/3,0)</calculatedColumnFormula>
    </tableColumn>
    <tableColumn id="12" xr3:uid="{E8129277-D91A-441D-A049-7207BE6DEBA3}" name="Mês" dataDxfId="1106">
      <calculatedColumnFormula>TEXT(C2,"MMM")</calculatedColumnFormula>
    </tableColumn>
    <tableColumn id="13" xr3:uid="{E478A976-1CEA-4DE2-92AE-1BF13ADCD023}" name="Nº Mês" dataDxfId="11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mare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2409-CA7F-423E-B864-216D2AAEDCC5}">
  <dimension ref="B1:N241"/>
  <sheetViews>
    <sheetView zoomScaleNormal="100" workbookViewId="0">
      <selection activeCell="A221" sqref="A221"/>
    </sheetView>
  </sheetViews>
  <sheetFormatPr defaultRowHeight="14.4" x14ac:dyDescent="0.3"/>
  <cols>
    <col min="2" max="2" width="7.21875" bestFit="1" customWidth="1"/>
    <col min="3" max="3" width="10.33203125" bestFit="1" customWidth="1"/>
    <col min="4" max="4" width="11.5546875" bestFit="1" customWidth="1"/>
    <col min="5" max="5" width="11.21875" bestFit="1" customWidth="1"/>
    <col min="6" max="6" width="32.6640625" bestFit="1" customWidth="1"/>
    <col min="7" max="7" width="14.109375" bestFit="1" customWidth="1"/>
    <col min="8" max="8" width="13.33203125" bestFit="1" customWidth="1"/>
    <col min="9" max="9" width="12.33203125" bestFit="1" customWidth="1"/>
    <col min="10" max="10" width="11.5546875" customWidth="1"/>
    <col min="11" max="12" width="13.44140625" bestFit="1" customWidth="1"/>
    <col min="13" max="13" width="8.77734375" bestFit="1" customWidth="1"/>
    <col min="14" max="14" width="11.33203125" bestFit="1" customWidth="1"/>
  </cols>
  <sheetData>
    <row r="1" spans="2:14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89</v>
      </c>
      <c r="L1" s="5" t="s">
        <v>90</v>
      </c>
      <c r="M1" s="5" t="s">
        <v>91</v>
      </c>
      <c r="N1" s="5" t="s">
        <v>92</v>
      </c>
    </row>
    <row r="2" spans="2:14" x14ac:dyDescent="0.3">
      <c r="B2">
        <v>1</v>
      </c>
      <c r="C2" s="1">
        <v>45660</v>
      </c>
      <c r="D2" t="s">
        <v>9</v>
      </c>
      <c r="E2" t="s">
        <v>14</v>
      </c>
      <c r="F2" t="s">
        <v>22</v>
      </c>
      <c r="G2" t="s">
        <v>32</v>
      </c>
      <c r="H2">
        <v>100</v>
      </c>
      <c r="I2">
        <v>7</v>
      </c>
      <c r="J2">
        <v>4</v>
      </c>
      <c r="K2" s="2" t="str">
        <f>IF(MONTH(M2 &amp; " 1")&lt;=6, "1º Semestre", "2º Semestre")</f>
        <v>1º Semestre</v>
      </c>
      <c r="L2" s="2" t="str">
        <f>"T"&amp;ROUNDUP(VALUE(N2)/3,0)</f>
        <v>T1</v>
      </c>
      <c r="M2" s="2" t="str">
        <f t="shared" ref="M2:M65" si="0">TEXT(C2,"MMM")</f>
        <v>jan</v>
      </c>
      <c r="N2" s="2">
        <v>1</v>
      </c>
    </row>
    <row r="3" spans="2:14" x14ac:dyDescent="0.3">
      <c r="B3">
        <v>2</v>
      </c>
      <c r="C3" s="1">
        <v>45660</v>
      </c>
      <c r="D3" t="s">
        <v>9</v>
      </c>
      <c r="E3" t="s">
        <v>15</v>
      </c>
      <c r="F3" t="s">
        <v>23</v>
      </c>
      <c r="G3" t="s">
        <v>32</v>
      </c>
      <c r="H3">
        <v>120</v>
      </c>
      <c r="I3">
        <v>3</v>
      </c>
      <c r="J3">
        <v>2</v>
      </c>
      <c r="K3" s="2" t="str">
        <f t="shared" ref="K3:K66" si="1">IF(MONTH(M3 &amp; " 1")&lt;=6, "1º Semestre", "2º Semestre")</f>
        <v>1º Semestre</v>
      </c>
      <c r="L3" s="2" t="str">
        <f t="shared" ref="L3:L66" si="2">"T"&amp;ROUNDUP(VALUE(N3)/3,0)</f>
        <v>T1</v>
      </c>
      <c r="M3" s="2" t="str">
        <f t="shared" si="0"/>
        <v>jan</v>
      </c>
      <c r="N3" s="2">
        <v>1</v>
      </c>
    </row>
    <row r="4" spans="2:14" x14ac:dyDescent="0.3">
      <c r="B4">
        <v>3</v>
      </c>
      <c r="C4" s="1">
        <v>45662</v>
      </c>
      <c r="D4" t="s">
        <v>10</v>
      </c>
      <c r="E4" t="s">
        <v>16</v>
      </c>
      <c r="F4" t="s">
        <v>24</v>
      </c>
      <c r="G4" t="s">
        <v>33</v>
      </c>
      <c r="H4">
        <v>90</v>
      </c>
      <c r="I4">
        <v>9</v>
      </c>
      <c r="J4">
        <v>1</v>
      </c>
      <c r="K4" s="2" t="str">
        <f t="shared" si="1"/>
        <v>1º Semestre</v>
      </c>
      <c r="L4" s="2" t="str">
        <f t="shared" si="2"/>
        <v>T1</v>
      </c>
      <c r="M4" s="2" t="str">
        <f t="shared" si="0"/>
        <v>jan</v>
      </c>
      <c r="N4" s="2">
        <v>1</v>
      </c>
    </row>
    <row r="5" spans="2:14" x14ac:dyDescent="0.3">
      <c r="B5">
        <v>4</v>
      </c>
      <c r="C5" s="1">
        <v>45663</v>
      </c>
      <c r="D5" t="s">
        <v>11</v>
      </c>
      <c r="E5" t="s">
        <v>17</v>
      </c>
      <c r="F5" t="s">
        <v>25</v>
      </c>
      <c r="G5" t="s">
        <v>33</v>
      </c>
      <c r="H5">
        <v>50</v>
      </c>
      <c r="I5">
        <v>6</v>
      </c>
      <c r="J5">
        <v>5</v>
      </c>
      <c r="K5" s="2" t="str">
        <f t="shared" si="1"/>
        <v>1º Semestre</v>
      </c>
      <c r="L5" s="2" t="str">
        <f t="shared" si="2"/>
        <v>T1</v>
      </c>
      <c r="M5" s="2" t="str">
        <f t="shared" si="0"/>
        <v>jan</v>
      </c>
      <c r="N5" s="2">
        <v>1</v>
      </c>
    </row>
    <row r="6" spans="2:14" x14ac:dyDescent="0.3">
      <c r="B6">
        <v>5</v>
      </c>
      <c r="C6" s="1">
        <v>45664</v>
      </c>
      <c r="D6" t="s">
        <v>12</v>
      </c>
      <c r="E6" t="s">
        <v>18</v>
      </c>
      <c r="F6" t="s">
        <v>26</v>
      </c>
      <c r="G6" t="s">
        <v>32</v>
      </c>
      <c r="H6">
        <v>30</v>
      </c>
      <c r="I6">
        <v>2</v>
      </c>
      <c r="J6">
        <v>2</v>
      </c>
      <c r="K6" s="2" t="str">
        <f t="shared" si="1"/>
        <v>1º Semestre</v>
      </c>
      <c r="L6" s="2" t="str">
        <f t="shared" si="2"/>
        <v>T1</v>
      </c>
      <c r="M6" s="2" t="str">
        <f t="shared" si="0"/>
        <v>jan</v>
      </c>
      <c r="N6" s="2">
        <v>1</v>
      </c>
    </row>
    <row r="7" spans="2:14" x14ac:dyDescent="0.3">
      <c r="B7">
        <v>6</v>
      </c>
      <c r="C7" s="1">
        <v>45665</v>
      </c>
      <c r="D7" t="s">
        <v>9</v>
      </c>
      <c r="E7" t="s">
        <v>14</v>
      </c>
      <c r="F7" t="s">
        <v>27</v>
      </c>
      <c r="G7" t="s">
        <v>32</v>
      </c>
      <c r="H7">
        <v>120</v>
      </c>
      <c r="I7">
        <v>4</v>
      </c>
      <c r="J7">
        <v>3</v>
      </c>
      <c r="K7" s="2" t="str">
        <f t="shared" si="1"/>
        <v>1º Semestre</v>
      </c>
      <c r="L7" s="2" t="str">
        <f t="shared" si="2"/>
        <v>T1</v>
      </c>
      <c r="M7" s="2" t="str">
        <f t="shared" si="0"/>
        <v>jan</v>
      </c>
      <c r="N7" s="2">
        <v>1</v>
      </c>
    </row>
    <row r="8" spans="2:14" x14ac:dyDescent="0.3">
      <c r="B8">
        <v>7</v>
      </c>
      <c r="C8" s="1">
        <v>45666</v>
      </c>
      <c r="D8" t="s">
        <v>13</v>
      </c>
      <c r="E8" t="s">
        <v>19</v>
      </c>
      <c r="F8" t="s">
        <v>28</v>
      </c>
      <c r="G8" t="s">
        <v>34</v>
      </c>
      <c r="H8">
        <v>30</v>
      </c>
      <c r="I8">
        <v>5</v>
      </c>
      <c r="J8">
        <v>2</v>
      </c>
      <c r="K8" s="2" t="str">
        <f t="shared" si="1"/>
        <v>1º Semestre</v>
      </c>
      <c r="L8" s="2" t="str">
        <f t="shared" si="2"/>
        <v>T1</v>
      </c>
      <c r="M8" s="2" t="str">
        <f t="shared" si="0"/>
        <v>jan</v>
      </c>
      <c r="N8" s="2">
        <v>1</v>
      </c>
    </row>
    <row r="9" spans="2:14" x14ac:dyDescent="0.3">
      <c r="B9">
        <v>8</v>
      </c>
      <c r="C9" s="1">
        <v>45667</v>
      </c>
      <c r="D9" t="s">
        <v>10</v>
      </c>
      <c r="E9" t="s">
        <v>20</v>
      </c>
      <c r="F9" t="s">
        <v>29</v>
      </c>
      <c r="G9" t="s">
        <v>35</v>
      </c>
      <c r="H9">
        <v>90</v>
      </c>
      <c r="I9">
        <v>1</v>
      </c>
      <c r="J9">
        <v>1</v>
      </c>
      <c r="K9" s="2" t="str">
        <f t="shared" si="1"/>
        <v>1º Semestre</v>
      </c>
      <c r="L9" s="2" t="str">
        <f t="shared" si="2"/>
        <v>T1</v>
      </c>
      <c r="M9" s="2" t="str">
        <f t="shared" si="0"/>
        <v>jan</v>
      </c>
      <c r="N9" s="2">
        <v>1</v>
      </c>
    </row>
    <row r="10" spans="2:14" x14ac:dyDescent="0.3">
      <c r="B10">
        <v>9</v>
      </c>
      <c r="C10" s="1">
        <v>45667</v>
      </c>
      <c r="D10" t="s">
        <v>9</v>
      </c>
      <c r="E10" t="s">
        <v>21</v>
      </c>
      <c r="F10" t="s">
        <v>30</v>
      </c>
      <c r="G10" t="s">
        <v>33</v>
      </c>
      <c r="H10">
        <v>120</v>
      </c>
      <c r="I10">
        <v>5</v>
      </c>
      <c r="J10">
        <v>4</v>
      </c>
      <c r="K10" s="2" t="str">
        <f t="shared" si="1"/>
        <v>1º Semestre</v>
      </c>
      <c r="L10" s="2" t="str">
        <f t="shared" si="2"/>
        <v>T1</v>
      </c>
      <c r="M10" s="2" t="str">
        <f t="shared" si="0"/>
        <v>jan</v>
      </c>
      <c r="N10" s="2">
        <v>1</v>
      </c>
    </row>
    <row r="11" spans="2:14" x14ac:dyDescent="0.3">
      <c r="B11">
        <v>10</v>
      </c>
      <c r="C11" s="1">
        <v>45668</v>
      </c>
      <c r="D11" t="s">
        <v>12</v>
      </c>
      <c r="E11" t="s">
        <v>18</v>
      </c>
      <c r="F11" t="s">
        <v>31</v>
      </c>
      <c r="G11" t="s">
        <v>32</v>
      </c>
      <c r="H11">
        <v>30</v>
      </c>
      <c r="I11">
        <v>3</v>
      </c>
      <c r="J11">
        <v>2</v>
      </c>
      <c r="K11" s="2" t="str">
        <f t="shared" si="1"/>
        <v>1º Semestre</v>
      </c>
      <c r="L11" s="2" t="str">
        <f t="shared" si="2"/>
        <v>T1</v>
      </c>
      <c r="M11" s="2" t="str">
        <f t="shared" si="0"/>
        <v>jan</v>
      </c>
      <c r="N11" s="2">
        <v>1</v>
      </c>
    </row>
    <row r="12" spans="2:14" x14ac:dyDescent="0.3">
      <c r="B12">
        <v>11</v>
      </c>
      <c r="C12" t="s">
        <v>41</v>
      </c>
      <c r="D12" t="s">
        <v>11</v>
      </c>
      <c r="E12" t="s">
        <v>16</v>
      </c>
      <c r="F12" t="s">
        <v>36</v>
      </c>
      <c r="G12" t="s">
        <v>34</v>
      </c>
      <c r="H12">
        <v>50</v>
      </c>
      <c r="I12">
        <v>12</v>
      </c>
      <c r="J12">
        <v>1</v>
      </c>
      <c r="K12" s="2" t="str">
        <f t="shared" si="1"/>
        <v>1º Semestre</v>
      </c>
      <c r="L12" s="2" t="str">
        <f t="shared" si="2"/>
        <v>T1</v>
      </c>
      <c r="M12" s="2" t="str">
        <f t="shared" si="0"/>
        <v>jan</v>
      </c>
      <c r="N12" s="2">
        <v>1</v>
      </c>
    </row>
    <row r="13" spans="2:14" x14ac:dyDescent="0.3">
      <c r="B13">
        <v>12</v>
      </c>
      <c r="C13" t="s">
        <v>42</v>
      </c>
      <c r="D13" t="s">
        <v>9</v>
      </c>
      <c r="E13" t="s">
        <v>37</v>
      </c>
      <c r="F13" t="s">
        <v>38</v>
      </c>
      <c r="G13" t="s">
        <v>33</v>
      </c>
      <c r="H13">
        <v>120</v>
      </c>
      <c r="I13">
        <v>7</v>
      </c>
      <c r="J13">
        <v>5</v>
      </c>
      <c r="K13" s="2" t="str">
        <f t="shared" si="1"/>
        <v>1º Semestre</v>
      </c>
      <c r="L13" s="2" t="str">
        <f t="shared" si="2"/>
        <v>T1</v>
      </c>
      <c r="M13" s="2" t="str">
        <f t="shared" si="0"/>
        <v>jan</v>
      </c>
      <c r="N13" s="2">
        <v>1</v>
      </c>
    </row>
    <row r="14" spans="2:14" x14ac:dyDescent="0.3">
      <c r="B14">
        <v>13</v>
      </c>
      <c r="C14" t="s">
        <v>43</v>
      </c>
      <c r="D14" t="s">
        <v>10</v>
      </c>
      <c r="E14" t="s">
        <v>17</v>
      </c>
      <c r="F14" t="s">
        <v>39</v>
      </c>
      <c r="G14" t="s">
        <v>33</v>
      </c>
      <c r="H14">
        <v>90</v>
      </c>
      <c r="I14">
        <v>6</v>
      </c>
      <c r="J14">
        <v>4</v>
      </c>
      <c r="K14" s="2" t="str">
        <f t="shared" si="1"/>
        <v>1º Semestre</v>
      </c>
      <c r="L14" s="2" t="str">
        <f t="shared" si="2"/>
        <v>T1</v>
      </c>
      <c r="M14" s="2" t="str">
        <f t="shared" si="0"/>
        <v>jan</v>
      </c>
      <c r="N14" s="2">
        <v>1</v>
      </c>
    </row>
    <row r="15" spans="2:14" x14ac:dyDescent="0.3">
      <c r="B15">
        <v>14</v>
      </c>
      <c r="C15" t="s">
        <v>44</v>
      </c>
      <c r="D15" t="s">
        <v>12</v>
      </c>
      <c r="E15" t="s">
        <v>14</v>
      </c>
      <c r="F15" t="s">
        <v>22</v>
      </c>
      <c r="G15" t="s">
        <v>32</v>
      </c>
      <c r="H15">
        <v>30</v>
      </c>
      <c r="I15">
        <v>5</v>
      </c>
      <c r="J15">
        <v>3</v>
      </c>
      <c r="K15" s="2" t="str">
        <f t="shared" si="1"/>
        <v>1º Semestre</v>
      </c>
      <c r="L15" s="2" t="str">
        <f t="shared" si="2"/>
        <v>T1</v>
      </c>
      <c r="M15" s="2" t="str">
        <f t="shared" si="0"/>
        <v>jan</v>
      </c>
      <c r="N15" s="2">
        <v>1</v>
      </c>
    </row>
    <row r="16" spans="2:14" x14ac:dyDescent="0.3">
      <c r="B16">
        <v>15</v>
      </c>
      <c r="C16" t="s">
        <v>45</v>
      </c>
      <c r="D16" t="s">
        <v>13</v>
      </c>
      <c r="E16" t="s">
        <v>19</v>
      </c>
      <c r="F16" t="s">
        <v>28</v>
      </c>
      <c r="G16" t="s">
        <v>34</v>
      </c>
      <c r="H16">
        <v>30</v>
      </c>
      <c r="I16">
        <v>8</v>
      </c>
      <c r="J16">
        <v>3</v>
      </c>
      <c r="K16" s="2" t="str">
        <f t="shared" si="1"/>
        <v>1º Semestre</v>
      </c>
      <c r="L16" s="2" t="str">
        <f t="shared" si="2"/>
        <v>T1</v>
      </c>
      <c r="M16" s="2" t="str">
        <f t="shared" si="0"/>
        <v>jan</v>
      </c>
      <c r="N16" s="2">
        <v>1</v>
      </c>
    </row>
    <row r="17" spans="2:14" x14ac:dyDescent="0.3">
      <c r="B17">
        <v>16</v>
      </c>
      <c r="C17" t="s">
        <v>46</v>
      </c>
      <c r="D17" t="s">
        <v>9</v>
      </c>
      <c r="E17" t="s">
        <v>15</v>
      </c>
      <c r="F17" t="s">
        <v>40</v>
      </c>
      <c r="G17" t="s">
        <v>32</v>
      </c>
      <c r="H17">
        <v>120</v>
      </c>
      <c r="I17">
        <v>4</v>
      </c>
      <c r="J17">
        <v>3</v>
      </c>
      <c r="K17" s="2" t="str">
        <f t="shared" si="1"/>
        <v>1º Semestre</v>
      </c>
      <c r="L17" s="2" t="str">
        <f t="shared" si="2"/>
        <v>T1</v>
      </c>
      <c r="M17" s="2" t="str">
        <f t="shared" si="0"/>
        <v>jan</v>
      </c>
      <c r="N17" s="2">
        <v>1</v>
      </c>
    </row>
    <row r="18" spans="2:14" x14ac:dyDescent="0.3">
      <c r="B18">
        <v>17</v>
      </c>
      <c r="C18" t="s">
        <v>47</v>
      </c>
      <c r="D18" t="s">
        <v>10</v>
      </c>
      <c r="E18" t="s">
        <v>16</v>
      </c>
      <c r="F18" t="s">
        <v>24</v>
      </c>
      <c r="G18" t="s">
        <v>33</v>
      </c>
      <c r="H18">
        <v>90</v>
      </c>
      <c r="I18">
        <v>10</v>
      </c>
      <c r="J18">
        <v>2</v>
      </c>
      <c r="K18" s="2" t="str">
        <f t="shared" si="1"/>
        <v>1º Semestre</v>
      </c>
      <c r="L18" s="2" t="str">
        <f t="shared" si="2"/>
        <v>T1</v>
      </c>
      <c r="M18" s="2" t="str">
        <f t="shared" si="0"/>
        <v>jan</v>
      </c>
      <c r="N18" s="2">
        <v>1</v>
      </c>
    </row>
    <row r="19" spans="2:14" x14ac:dyDescent="0.3">
      <c r="B19">
        <v>18</v>
      </c>
      <c r="C19" t="s">
        <v>48</v>
      </c>
      <c r="D19" t="s">
        <v>11</v>
      </c>
      <c r="E19" t="s">
        <v>17</v>
      </c>
      <c r="F19" t="s">
        <v>25</v>
      </c>
      <c r="G19" t="s">
        <v>33</v>
      </c>
      <c r="H19">
        <v>50</v>
      </c>
      <c r="I19">
        <v>8</v>
      </c>
      <c r="J19">
        <v>6</v>
      </c>
      <c r="K19" s="2" t="str">
        <f t="shared" si="1"/>
        <v>1º Semestre</v>
      </c>
      <c r="L19" s="2" t="str">
        <f t="shared" si="2"/>
        <v>T1</v>
      </c>
      <c r="M19" s="2" t="str">
        <f t="shared" si="0"/>
        <v>jan</v>
      </c>
      <c r="N19" s="2">
        <v>1</v>
      </c>
    </row>
    <row r="20" spans="2:14" x14ac:dyDescent="0.3">
      <c r="B20">
        <v>19</v>
      </c>
      <c r="C20" t="s">
        <v>49</v>
      </c>
      <c r="D20" t="s">
        <v>9</v>
      </c>
      <c r="E20" t="s">
        <v>14</v>
      </c>
      <c r="F20" t="s">
        <v>27</v>
      </c>
      <c r="G20" t="s">
        <v>32</v>
      </c>
      <c r="H20">
        <v>120</v>
      </c>
      <c r="I20">
        <v>3</v>
      </c>
      <c r="J20">
        <v>2</v>
      </c>
      <c r="K20" s="2" t="str">
        <f t="shared" si="1"/>
        <v>1º Semestre</v>
      </c>
      <c r="L20" s="2" t="str">
        <f t="shared" si="2"/>
        <v>T1</v>
      </c>
      <c r="M20" s="2" t="str">
        <f t="shared" si="0"/>
        <v>jan</v>
      </c>
      <c r="N20" s="2">
        <v>1</v>
      </c>
    </row>
    <row r="21" spans="2:14" x14ac:dyDescent="0.3">
      <c r="B21">
        <v>20</v>
      </c>
      <c r="C21" t="s">
        <v>50</v>
      </c>
      <c r="D21" t="s">
        <v>12</v>
      </c>
      <c r="E21" t="s">
        <v>18</v>
      </c>
      <c r="F21" t="s">
        <v>26</v>
      </c>
      <c r="G21" t="s">
        <v>32</v>
      </c>
      <c r="H21">
        <v>30</v>
      </c>
      <c r="I21">
        <v>2</v>
      </c>
      <c r="J21">
        <v>2</v>
      </c>
      <c r="K21" s="2" t="str">
        <f t="shared" si="1"/>
        <v>1º Semestre</v>
      </c>
      <c r="L21" s="2" t="str">
        <f t="shared" si="2"/>
        <v>T1</v>
      </c>
      <c r="M21" s="2" t="str">
        <f t="shared" si="0"/>
        <v>jan</v>
      </c>
      <c r="N21" s="2">
        <v>1</v>
      </c>
    </row>
    <row r="22" spans="2:14" x14ac:dyDescent="0.3">
      <c r="B22">
        <v>21</v>
      </c>
      <c r="C22" t="s">
        <v>51</v>
      </c>
      <c r="D22" t="s">
        <v>9</v>
      </c>
      <c r="E22" t="s">
        <v>14</v>
      </c>
      <c r="F22" t="s">
        <v>22</v>
      </c>
      <c r="G22" t="s">
        <v>32</v>
      </c>
      <c r="H22">
        <v>120</v>
      </c>
      <c r="I22">
        <v>6</v>
      </c>
      <c r="J22">
        <v>4</v>
      </c>
      <c r="K22" s="2" t="str">
        <f t="shared" si="1"/>
        <v>1º Semestre</v>
      </c>
      <c r="L22" s="2" t="str">
        <f t="shared" si="2"/>
        <v>T1</v>
      </c>
      <c r="M22" s="2" t="str">
        <f t="shared" si="0"/>
        <v>fev</v>
      </c>
      <c r="N22" s="2">
        <v>2</v>
      </c>
    </row>
    <row r="23" spans="2:14" x14ac:dyDescent="0.3">
      <c r="B23">
        <v>22</v>
      </c>
      <c r="C23" t="s">
        <v>52</v>
      </c>
      <c r="D23" t="s">
        <v>10</v>
      </c>
      <c r="E23" t="s">
        <v>16</v>
      </c>
      <c r="F23" t="s">
        <v>24</v>
      </c>
      <c r="G23" t="s">
        <v>33</v>
      </c>
      <c r="H23">
        <v>90</v>
      </c>
      <c r="I23">
        <v>8</v>
      </c>
      <c r="J23">
        <v>1</v>
      </c>
      <c r="K23" s="2" t="str">
        <f t="shared" si="1"/>
        <v>1º Semestre</v>
      </c>
      <c r="L23" s="2" t="str">
        <f t="shared" si="2"/>
        <v>T1</v>
      </c>
      <c r="M23" s="2" t="str">
        <f t="shared" si="0"/>
        <v>fev</v>
      </c>
      <c r="N23" s="2">
        <v>2</v>
      </c>
    </row>
    <row r="24" spans="2:14" x14ac:dyDescent="0.3">
      <c r="B24">
        <v>23</v>
      </c>
      <c r="C24" t="s">
        <v>53</v>
      </c>
      <c r="D24" t="s">
        <v>11</v>
      </c>
      <c r="E24" t="s">
        <v>17</v>
      </c>
      <c r="F24" t="s">
        <v>25</v>
      </c>
      <c r="G24" t="s">
        <v>33</v>
      </c>
      <c r="H24">
        <v>42</v>
      </c>
      <c r="I24">
        <v>7</v>
      </c>
      <c r="J24">
        <v>5</v>
      </c>
      <c r="K24" s="2" t="str">
        <f t="shared" si="1"/>
        <v>1º Semestre</v>
      </c>
      <c r="L24" s="2" t="str">
        <f t="shared" si="2"/>
        <v>T1</v>
      </c>
      <c r="M24" s="2" t="str">
        <f t="shared" si="0"/>
        <v>fev</v>
      </c>
      <c r="N24" s="2">
        <v>2</v>
      </c>
    </row>
    <row r="25" spans="2:14" x14ac:dyDescent="0.3">
      <c r="B25">
        <v>24</v>
      </c>
      <c r="C25" t="s">
        <v>54</v>
      </c>
      <c r="D25" t="s">
        <v>12</v>
      </c>
      <c r="E25" t="s">
        <v>18</v>
      </c>
      <c r="F25" t="s">
        <v>26</v>
      </c>
      <c r="G25" t="s">
        <v>32</v>
      </c>
      <c r="H25">
        <v>30</v>
      </c>
      <c r="I25">
        <v>2</v>
      </c>
      <c r="J25">
        <v>2</v>
      </c>
      <c r="K25" s="2" t="str">
        <f t="shared" si="1"/>
        <v>1º Semestre</v>
      </c>
      <c r="L25" s="2" t="str">
        <f t="shared" si="2"/>
        <v>T1</v>
      </c>
      <c r="M25" s="2" t="str">
        <f t="shared" si="0"/>
        <v>fev</v>
      </c>
      <c r="N25" s="2">
        <v>2</v>
      </c>
    </row>
    <row r="26" spans="2:14" x14ac:dyDescent="0.3">
      <c r="B26">
        <v>25</v>
      </c>
      <c r="C26" t="s">
        <v>55</v>
      </c>
      <c r="D26" t="s">
        <v>9</v>
      </c>
      <c r="E26" t="s">
        <v>15</v>
      </c>
      <c r="F26" t="s">
        <v>23</v>
      </c>
      <c r="G26" t="s">
        <v>32</v>
      </c>
      <c r="H26">
        <v>120</v>
      </c>
      <c r="I26">
        <v>3</v>
      </c>
      <c r="J26">
        <v>2</v>
      </c>
      <c r="K26" s="2" t="str">
        <f t="shared" si="1"/>
        <v>1º Semestre</v>
      </c>
      <c r="L26" s="2" t="str">
        <f t="shared" si="2"/>
        <v>T1</v>
      </c>
      <c r="M26" s="2" t="str">
        <f t="shared" si="0"/>
        <v>fev</v>
      </c>
      <c r="N26" s="2">
        <v>2</v>
      </c>
    </row>
    <row r="27" spans="2:14" x14ac:dyDescent="0.3">
      <c r="B27">
        <v>26</v>
      </c>
      <c r="C27" t="s">
        <v>56</v>
      </c>
      <c r="D27" t="s">
        <v>13</v>
      </c>
      <c r="E27" t="s">
        <v>19</v>
      </c>
      <c r="F27" t="s">
        <v>28</v>
      </c>
      <c r="G27" t="s">
        <v>34</v>
      </c>
      <c r="H27">
        <v>30</v>
      </c>
      <c r="I27">
        <v>6</v>
      </c>
      <c r="J27">
        <v>2</v>
      </c>
      <c r="K27" s="2" t="str">
        <f t="shared" si="1"/>
        <v>1º Semestre</v>
      </c>
      <c r="L27" s="2" t="str">
        <f t="shared" si="2"/>
        <v>T1</v>
      </c>
      <c r="M27" s="2" t="str">
        <f t="shared" si="0"/>
        <v>fev</v>
      </c>
      <c r="N27" s="2">
        <v>2</v>
      </c>
    </row>
    <row r="28" spans="2:14" x14ac:dyDescent="0.3">
      <c r="B28">
        <v>27</v>
      </c>
      <c r="C28" t="s">
        <v>57</v>
      </c>
      <c r="D28" t="s">
        <v>10</v>
      </c>
      <c r="E28" t="s">
        <v>20</v>
      </c>
      <c r="F28" t="s">
        <v>29</v>
      </c>
      <c r="G28" t="s">
        <v>35</v>
      </c>
      <c r="H28">
        <v>90</v>
      </c>
      <c r="I28">
        <v>1</v>
      </c>
      <c r="J28">
        <v>1</v>
      </c>
      <c r="K28" s="2" t="str">
        <f t="shared" si="1"/>
        <v>1º Semestre</v>
      </c>
      <c r="L28" s="2" t="str">
        <f t="shared" si="2"/>
        <v>T1</v>
      </c>
      <c r="M28" s="2" t="str">
        <f t="shared" si="0"/>
        <v>fev</v>
      </c>
      <c r="N28" s="2">
        <v>2</v>
      </c>
    </row>
    <row r="29" spans="2:14" x14ac:dyDescent="0.3">
      <c r="B29">
        <v>28</v>
      </c>
      <c r="C29" t="s">
        <v>58</v>
      </c>
      <c r="D29" t="s">
        <v>9</v>
      </c>
      <c r="E29" t="s">
        <v>21</v>
      </c>
      <c r="F29" t="s">
        <v>30</v>
      </c>
      <c r="G29" t="s">
        <v>33</v>
      </c>
      <c r="H29">
        <v>110</v>
      </c>
      <c r="I29">
        <v>4</v>
      </c>
      <c r="J29">
        <v>3</v>
      </c>
      <c r="K29" s="2" t="str">
        <f t="shared" si="1"/>
        <v>1º Semestre</v>
      </c>
      <c r="L29" s="2" t="str">
        <f t="shared" si="2"/>
        <v>T1</v>
      </c>
      <c r="M29" s="2" t="str">
        <f t="shared" si="0"/>
        <v>fev</v>
      </c>
      <c r="N29" s="2">
        <v>2</v>
      </c>
    </row>
    <row r="30" spans="2:14" x14ac:dyDescent="0.3">
      <c r="B30">
        <v>29</v>
      </c>
      <c r="C30" t="s">
        <v>59</v>
      </c>
      <c r="D30" t="s">
        <v>12</v>
      </c>
      <c r="E30" t="s">
        <v>14</v>
      </c>
      <c r="F30" t="s">
        <v>27</v>
      </c>
      <c r="G30" t="s">
        <v>32</v>
      </c>
      <c r="H30">
        <v>30</v>
      </c>
      <c r="I30">
        <v>4</v>
      </c>
      <c r="J30">
        <v>2</v>
      </c>
      <c r="K30" s="2" t="str">
        <f t="shared" si="1"/>
        <v>1º Semestre</v>
      </c>
      <c r="L30" s="2" t="str">
        <f t="shared" si="2"/>
        <v>T1</v>
      </c>
      <c r="M30" s="2" t="str">
        <f t="shared" si="0"/>
        <v>fev</v>
      </c>
      <c r="N30" s="2">
        <v>2</v>
      </c>
    </row>
    <row r="31" spans="2:14" x14ac:dyDescent="0.3">
      <c r="B31">
        <v>30</v>
      </c>
      <c r="C31" t="s">
        <v>60</v>
      </c>
      <c r="D31" t="s">
        <v>11</v>
      </c>
      <c r="E31" t="s">
        <v>16</v>
      </c>
      <c r="F31" t="s">
        <v>36</v>
      </c>
      <c r="G31" t="s">
        <v>34</v>
      </c>
      <c r="H31">
        <v>42</v>
      </c>
      <c r="I31">
        <v>10</v>
      </c>
      <c r="J31">
        <v>1</v>
      </c>
      <c r="K31" s="2" t="str">
        <f t="shared" si="1"/>
        <v>1º Semestre</v>
      </c>
      <c r="L31" s="2" t="str">
        <f t="shared" si="2"/>
        <v>T1</v>
      </c>
      <c r="M31" s="2" t="str">
        <f t="shared" si="0"/>
        <v>fev</v>
      </c>
      <c r="N31" s="2">
        <v>2</v>
      </c>
    </row>
    <row r="32" spans="2:14" x14ac:dyDescent="0.3">
      <c r="B32">
        <v>31</v>
      </c>
      <c r="C32" t="s">
        <v>61</v>
      </c>
      <c r="D32" t="s">
        <v>9</v>
      </c>
      <c r="E32" t="s">
        <v>37</v>
      </c>
      <c r="F32" t="s">
        <v>38</v>
      </c>
      <c r="G32" t="s">
        <v>33</v>
      </c>
      <c r="H32">
        <v>110</v>
      </c>
      <c r="I32">
        <v>6</v>
      </c>
      <c r="J32">
        <v>4</v>
      </c>
      <c r="K32" s="2" t="str">
        <f t="shared" si="1"/>
        <v>1º Semestre</v>
      </c>
      <c r="L32" s="2" t="str">
        <f t="shared" si="2"/>
        <v>T1</v>
      </c>
      <c r="M32" s="2" t="str">
        <f t="shared" si="0"/>
        <v>fev</v>
      </c>
      <c r="N32" s="2">
        <v>2</v>
      </c>
    </row>
    <row r="33" spans="2:14" x14ac:dyDescent="0.3">
      <c r="B33">
        <v>32</v>
      </c>
      <c r="C33" t="s">
        <v>62</v>
      </c>
      <c r="D33" t="s">
        <v>10</v>
      </c>
      <c r="E33" t="s">
        <v>17</v>
      </c>
      <c r="F33" t="s">
        <v>39</v>
      </c>
      <c r="G33" t="s">
        <v>33</v>
      </c>
      <c r="H33">
        <v>90</v>
      </c>
      <c r="I33">
        <v>5</v>
      </c>
      <c r="J33">
        <v>3</v>
      </c>
      <c r="K33" s="2" t="str">
        <f t="shared" si="1"/>
        <v>1º Semestre</v>
      </c>
      <c r="L33" s="2" t="str">
        <f t="shared" si="2"/>
        <v>T1</v>
      </c>
      <c r="M33" s="2" t="str">
        <f t="shared" si="0"/>
        <v>fev</v>
      </c>
      <c r="N33" s="2">
        <v>2</v>
      </c>
    </row>
    <row r="34" spans="2:14" x14ac:dyDescent="0.3">
      <c r="B34">
        <v>33</v>
      </c>
      <c r="C34" t="s">
        <v>63</v>
      </c>
      <c r="D34" t="s">
        <v>13</v>
      </c>
      <c r="E34" t="s">
        <v>19</v>
      </c>
      <c r="F34" t="s">
        <v>28</v>
      </c>
      <c r="G34" t="s">
        <v>34</v>
      </c>
      <c r="H34">
        <v>30</v>
      </c>
      <c r="I34">
        <v>7</v>
      </c>
      <c r="J34">
        <v>3</v>
      </c>
      <c r="K34" s="2" t="str">
        <f t="shared" si="1"/>
        <v>1º Semestre</v>
      </c>
      <c r="L34" s="2" t="str">
        <f t="shared" si="2"/>
        <v>T1</v>
      </c>
      <c r="M34" s="2" t="str">
        <f t="shared" si="0"/>
        <v>fev</v>
      </c>
      <c r="N34" s="2">
        <v>2</v>
      </c>
    </row>
    <row r="35" spans="2:14" x14ac:dyDescent="0.3">
      <c r="B35">
        <v>34</v>
      </c>
      <c r="C35" t="s">
        <v>64</v>
      </c>
      <c r="D35" t="s">
        <v>9</v>
      </c>
      <c r="E35" t="s">
        <v>15</v>
      </c>
      <c r="F35" t="s">
        <v>40</v>
      </c>
      <c r="G35" t="s">
        <v>32</v>
      </c>
      <c r="H35">
        <v>110</v>
      </c>
      <c r="I35">
        <v>3</v>
      </c>
      <c r="J35">
        <v>2</v>
      </c>
      <c r="K35" s="2" t="str">
        <f t="shared" si="1"/>
        <v>1º Semestre</v>
      </c>
      <c r="L35" s="2" t="str">
        <f t="shared" si="2"/>
        <v>T1</v>
      </c>
      <c r="M35" s="2" t="str">
        <f t="shared" si="0"/>
        <v>fev</v>
      </c>
      <c r="N35" s="2">
        <v>2</v>
      </c>
    </row>
    <row r="36" spans="2:14" x14ac:dyDescent="0.3">
      <c r="B36">
        <v>35</v>
      </c>
      <c r="C36" t="s">
        <v>65</v>
      </c>
      <c r="D36" t="s">
        <v>12</v>
      </c>
      <c r="E36" t="s">
        <v>18</v>
      </c>
      <c r="F36" t="s">
        <v>31</v>
      </c>
      <c r="G36" t="s">
        <v>32</v>
      </c>
      <c r="H36">
        <v>30</v>
      </c>
      <c r="I36">
        <v>2</v>
      </c>
      <c r="J36">
        <v>2</v>
      </c>
      <c r="K36" s="2" t="str">
        <f t="shared" si="1"/>
        <v>1º Semestre</v>
      </c>
      <c r="L36" s="2" t="str">
        <f t="shared" si="2"/>
        <v>T1</v>
      </c>
      <c r="M36" s="2" t="str">
        <f t="shared" si="0"/>
        <v>fev</v>
      </c>
      <c r="N36" s="2">
        <v>2</v>
      </c>
    </row>
    <row r="37" spans="2:14" x14ac:dyDescent="0.3">
      <c r="B37">
        <v>36</v>
      </c>
      <c r="C37" t="s">
        <v>66</v>
      </c>
      <c r="D37" t="s">
        <v>10</v>
      </c>
      <c r="E37" t="s">
        <v>16</v>
      </c>
      <c r="F37" t="s">
        <v>24</v>
      </c>
      <c r="G37" t="s">
        <v>33</v>
      </c>
      <c r="H37">
        <v>90</v>
      </c>
      <c r="I37">
        <v>9</v>
      </c>
      <c r="J37">
        <v>2</v>
      </c>
      <c r="K37" s="2" t="str">
        <f t="shared" si="1"/>
        <v>1º Semestre</v>
      </c>
      <c r="L37" s="2" t="str">
        <f t="shared" si="2"/>
        <v>T1</v>
      </c>
      <c r="M37" s="2" t="str">
        <f t="shared" si="0"/>
        <v>fev</v>
      </c>
      <c r="N37" s="2">
        <v>2</v>
      </c>
    </row>
    <row r="38" spans="2:14" x14ac:dyDescent="0.3">
      <c r="B38">
        <v>37</v>
      </c>
      <c r="C38" t="s">
        <v>67</v>
      </c>
      <c r="D38" t="s">
        <v>9</v>
      </c>
      <c r="E38" t="s">
        <v>14</v>
      </c>
      <c r="F38" t="s">
        <v>22</v>
      </c>
      <c r="G38" t="s">
        <v>32</v>
      </c>
      <c r="H38">
        <v>110</v>
      </c>
      <c r="I38">
        <v>5</v>
      </c>
      <c r="J38">
        <v>3</v>
      </c>
      <c r="K38" s="2" t="str">
        <f t="shared" si="1"/>
        <v>1º Semestre</v>
      </c>
      <c r="L38" s="2" t="str">
        <f t="shared" si="2"/>
        <v>T1</v>
      </c>
      <c r="M38" s="2" t="str">
        <f t="shared" si="0"/>
        <v>mar</v>
      </c>
      <c r="N38" s="2">
        <v>3</v>
      </c>
    </row>
    <row r="39" spans="2:14" x14ac:dyDescent="0.3">
      <c r="B39">
        <v>38</v>
      </c>
      <c r="C39" t="s">
        <v>68</v>
      </c>
      <c r="D39" t="s">
        <v>10</v>
      </c>
      <c r="E39" t="s">
        <v>16</v>
      </c>
      <c r="F39" t="s">
        <v>24</v>
      </c>
      <c r="G39" t="s">
        <v>33</v>
      </c>
      <c r="H39">
        <v>90</v>
      </c>
      <c r="I39">
        <v>7</v>
      </c>
      <c r="J39">
        <v>1</v>
      </c>
      <c r="K39" s="2" t="str">
        <f t="shared" si="1"/>
        <v>1º Semestre</v>
      </c>
      <c r="L39" s="2" t="str">
        <f t="shared" si="2"/>
        <v>T1</v>
      </c>
      <c r="M39" s="2" t="str">
        <f t="shared" si="0"/>
        <v>mar</v>
      </c>
      <c r="N39" s="2">
        <v>3</v>
      </c>
    </row>
    <row r="40" spans="2:14" x14ac:dyDescent="0.3">
      <c r="B40">
        <v>39</v>
      </c>
      <c r="C40" t="s">
        <v>69</v>
      </c>
      <c r="D40" t="s">
        <v>11</v>
      </c>
      <c r="E40" t="s">
        <v>17</v>
      </c>
      <c r="F40" t="s">
        <v>25</v>
      </c>
      <c r="G40" t="s">
        <v>33</v>
      </c>
      <c r="H40">
        <v>42</v>
      </c>
      <c r="I40">
        <v>6</v>
      </c>
      <c r="J40">
        <v>4</v>
      </c>
      <c r="K40" s="2" t="str">
        <f t="shared" si="1"/>
        <v>1º Semestre</v>
      </c>
      <c r="L40" s="2" t="str">
        <f t="shared" si="2"/>
        <v>T1</v>
      </c>
      <c r="M40" s="2" t="str">
        <f t="shared" si="0"/>
        <v>mar</v>
      </c>
      <c r="N40" s="2">
        <v>3</v>
      </c>
    </row>
    <row r="41" spans="2:14" x14ac:dyDescent="0.3">
      <c r="B41">
        <v>40</v>
      </c>
      <c r="C41" t="s">
        <v>70</v>
      </c>
      <c r="D41" t="s">
        <v>12</v>
      </c>
      <c r="E41" t="s">
        <v>18</v>
      </c>
      <c r="F41" t="s">
        <v>26</v>
      </c>
      <c r="G41" t="s">
        <v>32</v>
      </c>
      <c r="H41">
        <v>30</v>
      </c>
      <c r="I41">
        <v>2</v>
      </c>
      <c r="J41">
        <v>2</v>
      </c>
      <c r="K41" s="2" t="str">
        <f t="shared" si="1"/>
        <v>1º Semestre</v>
      </c>
      <c r="L41" s="2" t="str">
        <f t="shared" si="2"/>
        <v>T1</v>
      </c>
      <c r="M41" s="2" t="str">
        <f t="shared" si="0"/>
        <v>mar</v>
      </c>
      <c r="N41" s="2">
        <v>3</v>
      </c>
    </row>
    <row r="42" spans="2:14" x14ac:dyDescent="0.3">
      <c r="B42">
        <v>41</v>
      </c>
      <c r="C42" t="s">
        <v>71</v>
      </c>
      <c r="D42" t="s">
        <v>9</v>
      </c>
      <c r="E42" t="s">
        <v>15</v>
      </c>
      <c r="F42" t="s">
        <v>23</v>
      </c>
      <c r="G42" t="s">
        <v>32</v>
      </c>
      <c r="H42">
        <v>115</v>
      </c>
      <c r="I42">
        <v>2</v>
      </c>
      <c r="J42">
        <v>1</v>
      </c>
      <c r="K42" s="2" t="str">
        <f t="shared" si="1"/>
        <v>1º Semestre</v>
      </c>
      <c r="L42" s="2" t="str">
        <f t="shared" si="2"/>
        <v>T1</v>
      </c>
      <c r="M42" s="2" t="str">
        <f t="shared" si="0"/>
        <v>mar</v>
      </c>
      <c r="N42" s="2">
        <v>3</v>
      </c>
    </row>
    <row r="43" spans="2:14" x14ac:dyDescent="0.3">
      <c r="B43">
        <v>42</v>
      </c>
      <c r="C43" t="s">
        <v>72</v>
      </c>
      <c r="D43" t="s">
        <v>13</v>
      </c>
      <c r="E43" t="s">
        <v>19</v>
      </c>
      <c r="F43" t="s">
        <v>28</v>
      </c>
      <c r="G43" t="s">
        <v>34</v>
      </c>
      <c r="H43">
        <v>30</v>
      </c>
      <c r="I43">
        <v>5</v>
      </c>
      <c r="J43">
        <v>1</v>
      </c>
      <c r="K43" s="2" t="str">
        <f t="shared" si="1"/>
        <v>1º Semestre</v>
      </c>
      <c r="L43" s="2" t="str">
        <f t="shared" si="2"/>
        <v>T1</v>
      </c>
      <c r="M43" s="2" t="str">
        <f t="shared" si="0"/>
        <v>mar</v>
      </c>
      <c r="N43" s="2">
        <v>3</v>
      </c>
    </row>
    <row r="44" spans="2:14" x14ac:dyDescent="0.3">
      <c r="B44">
        <v>43</v>
      </c>
      <c r="C44" t="s">
        <v>73</v>
      </c>
      <c r="D44" t="s">
        <v>9</v>
      </c>
      <c r="E44" t="s">
        <v>21</v>
      </c>
      <c r="F44" t="s">
        <v>30</v>
      </c>
      <c r="G44" t="s">
        <v>33</v>
      </c>
      <c r="H44">
        <v>115</v>
      </c>
      <c r="I44">
        <v>4</v>
      </c>
      <c r="J44">
        <v>3</v>
      </c>
      <c r="K44" s="2" t="str">
        <f t="shared" si="1"/>
        <v>1º Semestre</v>
      </c>
      <c r="L44" s="2" t="str">
        <f t="shared" si="2"/>
        <v>T1</v>
      </c>
      <c r="M44" s="2" t="str">
        <f t="shared" si="0"/>
        <v>mar</v>
      </c>
      <c r="N44" s="2">
        <v>3</v>
      </c>
    </row>
    <row r="45" spans="2:14" x14ac:dyDescent="0.3">
      <c r="B45">
        <v>44</v>
      </c>
      <c r="C45" t="s">
        <v>74</v>
      </c>
      <c r="D45" t="s">
        <v>12</v>
      </c>
      <c r="E45" t="s">
        <v>14</v>
      </c>
      <c r="F45" t="s">
        <v>27</v>
      </c>
      <c r="G45" t="s">
        <v>32</v>
      </c>
      <c r="H45">
        <v>30</v>
      </c>
      <c r="I45">
        <v>3</v>
      </c>
      <c r="J45">
        <v>2</v>
      </c>
      <c r="K45" s="2" t="str">
        <f t="shared" si="1"/>
        <v>1º Semestre</v>
      </c>
      <c r="L45" s="2" t="str">
        <f t="shared" si="2"/>
        <v>T1</v>
      </c>
      <c r="M45" s="2" t="str">
        <f t="shared" si="0"/>
        <v>mar</v>
      </c>
      <c r="N45" s="2">
        <v>3</v>
      </c>
    </row>
    <row r="46" spans="2:14" x14ac:dyDescent="0.3">
      <c r="B46">
        <v>45</v>
      </c>
      <c r="C46" t="s">
        <v>75</v>
      </c>
      <c r="D46" t="s">
        <v>11</v>
      </c>
      <c r="E46" t="s">
        <v>16</v>
      </c>
      <c r="F46" t="s">
        <v>36</v>
      </c>
      <c r="G46" t="s">
        <v>34</v>
      </c>
      <c r="H46">
        <v>42</v>
      </c>
      <c r="I46">
        <v>9</v>
      </c>
      <c r="J46">
        <v>1</v>
      </c>
      <c r="K46" s="2" t="str">
        <f t="shared" si="1"/>
        <v>1º Semestre</v>
      </c>
      <c r="L46" s="2" t="str">
        <f t="shared" si="2"/>
        <v>T1</v>
      </c>
      <c r="M46" s="2" t="str">
        <f t="shared" si="0"/>
        <v>mar</v>
      </c>
      <c r="N46" s="2">
        <v>3</v>
      </c>
    </row>
    <row r="47" spans="2:14" x14ac:dyDescent="0.3">
      <c r="B47">
        <v>46</v>
      </c>
      <c r="C47" t="s">
        <v>76</v>
      </c>
      <c r="D47" t="s">
        <v>9</v>
      </c>
      <c r="E47" t="s">
        <v>37</v>
      </c>
      <c r="F47" t="s">
        <v>38</v>
      </c>
      <c r="G47" t="s">
        <v>33</v>
      </c>
      <c r="H47">
        <v>115</v>
      </c>
      <c r="I47">
        <v>5</v>
      </c>
      <c r="J47">
        <v>3</v>
      </c>
      <c r="K47" s="2" t="str">
        <f t="shared" si="1"/>
        <v>1º Semestre</v>
      </c>
      <c r="L47" s="2" t="str">
        <f t="shared" si="2"/>
        <v>T1</v>
      </c>
      <c r="M47" s="2" t="str">
        <f t="shared" si="0"/>
        <v>mar</v>
      </c>
      <c r="N47" s="2">
        <v>3</v>
      </c>
    </row>
    <row r="48" spans="2:14" x14ac:dyDescent="0.3">
      <c r="B48">
        <v>47</v>
      </c>
      <c r="C48" t="s">
        <v>77</v>
      </c>
      <c r="D48" t="s">
        <v>10</v>
      </c>
      <c r="E48" t="s">
        <v>17</v>
      </c>
      <c r="F48" t="s">
        <v>39</v>
      </c>
      <c r="G48" t="s">
        <v>33</v>
      </c>
      <c r="H48">
        <v>90</v>
      </c>
      <c r="I48">
        <v>5</v>
      </c>
      <c r="J48">
        <v>3</v>
      </c>
      <c r="K48" s="2" t="str">
        <f t="shared" si="1"/>
        <v>1º Semestre</v>
      </c>
      <c r="L48" s="2" t="str">
        <f t="shared" si="2"/>
        <v>T1</v>
      </c>
      <c r="M48" s="2" t="str">
        <f t="shared" si="0"/>
        <v>mar</v>
      </c>
      <c r="N48" s="2">
        <v>3</v>
      </c>
    </row>
    <row r="49" spans="2:14" x14ac:dyDescent="0.3">
      <c r="B49">
        <v>48</v>
      </c>
      <c r="C49" t="s">
        <v>78</v>
      </c>
      <c r="D49" t="s">
        <v>13</v>
      </c>
      <c r="E49" t="s">
        <v>19</v>
      </c>
      <c r="F49" t="s">
        <v>28</v>
      </c>
      <c r="G49" t="s">
        <v>34</v>
      </c>
      <c r="H49">
        <v>30</v>
      </c>
      <c r="I49">
        <v>6</v>
      </c>
      <c r="J49">
        <v>2</v>
      </c>
      <c r="K49" s="2" t="str">
        <f t="shared" si="1"/>
        <v>1º Semestre</v>
      </c>
      <c r="L49" s="2" t="str">
        <f t="shared" si="2"/>
        <v>T1</v>
      </c>
      <c r="M49" s="2" t="str">
        <f t="shared" si="0"/>
        <v>mar</v>
      </c>
      <c r="N49" s="2">
        <v>3</v>
      </c>
    </row>
    <row r="50" spans="2:14" x14ac:dyDescent="0.3">
      <c r="B50">
        <v>49</v>
      </c>
      <c r="C50" t="s">
        <v>79</v>
      </c>
      <c r="D50" t="s">
        <v>9</v>
      </c>
      <c r="E50" t="s">
        <v>15</v>
      </c>
      <c r="F50" t="s">
        <v>40</v>
      </c>
      <c r="G50" t="s">
        <v>32</v>
      </c>
      <c r="H50">
        <v>115</v>
      </c>
      <c r="I50">
        <v>2</v>
      </c>
      <c r="J50">
        <v>2</v>
      </c>
      <c r="K50" s="2" t="str">
        <f t="shared" si="1"/>
        <v>1º Semestre</v>
      </c>
      <c r="L50" s="2" t="str">
        <f t="shared" si="2"/>
        <v>T1</v>
      </c>
      <c r="M50" s="2" t="str">
        <f t="shared" si="0"/>
        <v>mar</v>
      </c>
      <c r="N50" s="2">
        <v>3</v>
      </c>
    </row>
    <row r="51" spans="2:14" x14ac:dyDescent="0.3">
      <c r="B51">
        <v>50</v>
      </c>
      <c r="C51" t="s">
        <v>80</v>
      </c>
      <c r="D51" t="s">
        <v>12</v>
      </c>
      <c r="E51" t="s">
        <v>18</v>
      </c>
      <c r="F51" t="s">
        <v>31</v>
      </c>
      <c r="G51" t="s">
        <v>32</v>
      </c>
      <c r="H51">
        <v>30</v>
      </c>
      <c r="I51">
        <v>2</v>
      </c>
      <c r="J51">
        <v>1</v>
      </c>
      <c r="K51" s="2" t="str">
        <f t="shared" si="1"/>
        <v>1º Semestre</v>
      </c>
      <c r="L51" s="2" t="str">
        <f t="shared" si="2"/>
        <v>T1</v>
      </c>
      <c r="M51" s="2" t="str">
        <f t="shared" si="0"/>
        <v>mar</v>
      </c>
      <c r="N51" s="2">
        <v>3</v>
      </c>
    </row>
    <row r="52" spans="2:14" x14ac:dyDescent="0.3">
      <c r="B52">
        <v>51</v>
      </c>
      <c r="C52" t="s">
        <v>81</v>
      </c>
      <c r="D52" t="s">
        <v>10</v>
      </c>
      <c r="E52" t="s">
        <v>16</v>
      </c>
      <c r="F52" t="s">
        <v>24</v>
      </c>
      <c r="G52" t="s">
        <v>33</v>
      </c>
      <c r="H52">
        <v>87</v>
      </c>
      <c r="I52">
        <v>7</v>
      </c>
      <c r="J52">
        <v>1</v>
      </c>
      <c r="K52" s="2" t="str">
        <f t="shared" si="1"/>
        <v>1º Semestre</v>
      </c>
      <c r="L52" s="2" t="str">
        <f t="shared" si="2"/>
        <v>T1</v>
      </c>
      <c r="M52" s="2" t="str">
        <f t="shared" si="0"/>
        <v>mar</v>
      </c>
      <c r="N52" s="2">
        <v>3</v>
      </c>
    </row>
    <row r="53" spans="2:14" x14ac:dyDescent="0.3">
      <c r="B53">
        <v>52</v>
      </c>
      <c r="C53" t="s">
        <v>82</v>
      </c>
      <c r="D53" t="s">
        <v>9</v>
      </c>
      <c r="E53" t="s">
        <v>14</v>
      </c>
      <c r="F53" t="s">
        <v>22</v>
      </c>
      <c r="G53" t="s">
        <v>32</v>
      </c>
      <c r="H53">
        <v>120</v>
      </c>
      <c r="I53">
        <v>4</v>
      </c>
      <c r="J53">
        <v>2</v>
      </c>
      <c r="K53" s="2" t="str">
        <f t="shared" si="1"/>
        <v>1º Semestre</v>
      </c>
      <c r="L53" s="2" t="str">
        <f t="shared" si="2"/>
        <v>T1</v>
      </c>
      <c r="M53" s="2" t="str">
        <f t="shared" si="0"/>
        <v>mar</v>
      </c>
      <c r="N53" s="2">
        <v>3</v>
      </c>
    </row>
    <row r="54" spans="2:14" x14ac:dyDescent="0.3">
      <c r="B54">
        <v>53</v>
      </c>
      <c r="C54" t="s">
        <v>83</v>
      </c>
      <c r="D54" t="s">
        <v>11</v>
      </c>
      <c r="E54" t="s">
        <v>17</v>
      </c>
      <c r="F54" t="s">
        <v>25</v>
      </c>
      <c r="G54" t="s">
        <v>33</v>
      </c>
      <c r="H54">
        <v>42</v>
      </c>
      <c r="I54">
        <v>5</v>
      </c>
      <c r="J54">
        <v>3</v>
      </c>
      <c r="K54" s="2" t="str">
        <f t="shared" si="1"/>
        <v>1º Semestre</v>
      </c>
      <c r="L54" s="2" t="str">
        <f t="shared" si="2"/>
        <v>T1</v>
      </c>
      <c r="M54" s="2" t="str">
        <f t="shared" si="0"/>
        <v>mar</v>
      </c>
      <c r="N54" s="2">
        <v>3</v>
      </c>
    </row>
    <row r="55" spans="2:14" x14ac:dyDescent="0.3">
      <c r="B55">
        <v>54</v>
      </c>
      <c r="C55" t="s">
        <v>84</v>
      </c>
      <c r="D55" t="s">
        <v>9</v>
      </c>
      <c r="E55" t="s">
        <v>20</v>
      </c>
      <c r="F55" t="s">
        <v>29</v>
      </c>
      <c r="G55" t="s">
        <v>35</v>
      </c>
      <c r="H55">
        <v>120</v>
      </c>
      <c r="I55">
        <v>1</v>
      </c>
      <c r="J55">
        <v>1</v>
      </c>
      <c r="K55" s="2" t="str">
        <f t="shared" si="1"/>
        <v>1º Semestre</v>
      </c>
      <c r="L55" s="2" t="str">
        <f t="shared" si="2"/>
        <v>T1</v>
      </c>
      <c r="M55" s="2" t="str">
        <f t="shared" si="0"/>
        <v>mar</v>
      </c>
      <c r="N55" s="2">
        <v>3</v>
      </c>
    </row>
    <row r="56" spans="2:14" x14ac:dyDescent="0.3">
      <c r="B56">
        <v>55</v>
      </c>
      <c r="C56" t="s">
        <v>85</v>
      </c>
      <c r="D56" t="s">
        <v>12</v>
      </c>
      <c r="E56" t="s">
        <v>14</v>
      </c>
      <c r="F56" t="s">
        <v>27</v>
      </c>
      <c r="G56" t="s">
        <v>32</v>
      </c>
      <c r="H56">
        <v>26</v>
      </c>
      <c r="I56">
        <v>3</v>
      </c>
      <c r="J56">
        <v>2</v>
      </c>
      <c r="K56" s="2" t="str">
        <f t="shared" si="1"/>
        <v>1º Semestre</v>
      </c>
      <c r="L56" s="2" t="str">
        <f t="shared" si="2"/>
        <v>T1</v>
      </c>
      <c r="M56" s="2" t="str">
        <f t="shared" si="0"/>
        <v>mar</v>
      </c>
      <c r="N56" s="2">
        <v>3</v>
      </c>
    </row>
    <row r="57" spans="2:14" x14ac:dyDescent="0.3">
      <c r="B57">
        <v>56</v>
      </c>
      <c r="C57" t="s">
        <v>85</v>
      </c>
      <c r="D57" t="s">
        <v>9</v>
      </c>
      <c r="E57" t="s">
        <v>16</v>
      </c>
      <c r="F57" t="s">
        <v>24</v>
      </c>
      <c r="G57" t="s">
        <v>33</v>
      </c>
      <c r="H57">
        <v>120</v>
      </c>
      <c r="I57">
        <v>6</v>
      </c>
      <c r="J57">
        <v>1</v>
      </c>
      <c r="K57" s="2" t="str">
        <f t="shared" si="1"/>
        <v>1º Semestre</v>
      </c>
      <c r="L57" s="2" t="str">
        <f t="shared" si="2"/>
        <v>T1</v>
      </c>
      <c r="M57" s="2" t="str">
        <f t="shared" si="0"/>
        <v>mar</v>
      </c>
      <c r="N57" s="2">
        <v>3</v>
      </c>
    </row>
    <row r="58" spans="2:14" x14ac:dyDescent="0.3">
      <c r="B58">
        <v>57</v>
      </c>
      <c r="C58" t="s">
        <v>86</v>
      </c>
      <c r="D58" t="s">
        <v>13</v>
      </c>
      <c r="E58" t="s">
        <v>19</v>
      </c>
      <c r="F58" t="s">
        <v>28</v>
      </c>
      <c r="G58" t="s">
        <v>34</v>
      </c>
      <c r="H58">
        <v>30</v>
      </c>
      <c r="I58">
        <v>5</v>
      </c>
      <c r="J58">
        <v>3</v>
      </c>
      <c r="K58" s="2" t="str">
        <f t="shared" si="1"/>
        <v>1º Semestre</v>
      </c>
      <c r="L58" s="2" t="str">
        <f t="shared" si="2"/>
        <v>T1</v>
      </c>
      <c r="M58" s="2" t="str">
        <f t="shared" si="0"/>
        <v>mar</v>
      </c>
      <c r="N58" s="2">
        <v>3</v>
      </c>
    </row>
    <row r="59" spans="2:14" x14ac:dyDescent="0.3">
      <c r="B59">
        <v>58</v>
      </c>
      <c r="C59" t="s">
        <v>87</v>
      </c>
      <c r="D59" t="s">
        <v>10</v>
      </c>
      <c r="E59" t="s">
        <v>21</v>
      </c>
      <c r="F59" t="s">
        <v>30</v>
      </c>
      <c r="G59" t="s">
        <v>33</v>
      </c>
      <c r="H59">
        <v>87</v>
      </c>
      <c r="I59">
        <v>3</v>
      </c>
      <c r="J59">
        <v>2</v>
      </c>
      <c r="K59" s="2" t="str">
        <f t="shared" si="1"/>
        <v>1º Semestre</v>
      </c>
      <c r="L59" s="2" t="str">
        <f t="shared" si="2"/>
        <v>T1</v>
      </c>
      <c r="M59" s="2" t="str">
        <f t="shared" si="0"/>
        <v>mar</v>
      </c>
      <c r="N59" s="2">
        <v>3</v>
      </c>
    </row>
    <row r="60" spans="2:14" x14ac:dyDescent="0.3">
      <c r="B60">
        <v>59</v>
      </c>
      <c r="C60" t="s">
        <v>88</v>
      </c>
      <c r="D60" t="s">
        <v>9</v>
      </c>
      <c r="E60" t="s">
        <v>37</v>
      </c>
      <c r="F60" t="s">
        <v>38</v>
      </c>
      <c r="G60" t="s">
        <v>33</v>
      </c>
      <c r="H60">
        <v>100</v>
      </c>
      <c r="I60">
        <v>4</v>
      </c>
      <c r="J60">
        <v>3</v>
      </c>
      <c r="K60" s="2" t="str">
        <f t="shared" si="1"/>
        <v>1º Semestre</v>
      </c>
      <c r="L60" s="2" t="str">
        <f t="shared" si="2"/>
        <v>T1</v>
      </c>
      <c r="M60" s="2" t="str">
        <f t="shared" si="0"/>
        <v>mar</v>
      </c>
      <c r="N60" s="2">
        <v>3</v>
      </c>
    </row>
    <row r="61" spans="2:14" x14ac:dyDescent="0.3">
      <c r="B61">
        <v>60</v>
      </c>
      <c r="C61" t="s">
        <v>88</v>
      </c>
      <c r="D61" t="s">
        <v>11</v>
      </c>
      <c r="E61" t="s">
        <v>16</v>
      </c>
      <c r="F61" t="s">
        <v>36</v>
      </c>
      <c r="G61" t="s">
        <v>34</v>
      </c>
      <c r="H61">
        <v>42</v>
      </c>
      <c r="I61">
        <v>8</v>
      </c>
      <c r="J61">
        <v>1</v>
      </c>
      <c r="K61" s="2" t="str">
        <f t="shared" si="1"/>
        <v>1º Semestre</v>
      </c>
      <c r="L61" s="2" t="str">
        <f t="shared" si="2"/>
        <v>T1</v>
      </c>
      <c r="M61" s="2" t="str">
        <f t="shared" si="0"/>
        <v>mar</v>
      </c>
      <c r="N61" s="2">
        <v>3</v>
      </c>
    </row>
    <row r="62" spans="2:14" x14ac:dyDescent="0.3">
      <c r="B62" s="2">
        <v>61</v>
      </c>
      <c r="C62" s="4">
        <v>45749</v>
      </c>
      <c r="D62" s="3" t="s">
        <v>9</v>
      </c>
      <c r="E62" s="3" t="s">
        <v>14</v>
      </c>
      <c r="F62" s="3" t="s">
        <v>22</v>
      </c>
      <c r="G62" s="3" t="s">
        <v>32</v>
      </c>
      <c r="H62" s="2">
        <v>100</v>
      </c>
      <c r="I62" s="2">
        <v>4</v>
      </c>
      <c r="J62" s="2">
        <v>2</v>
      </c>
      <c r="K62" s="2" t="str">
        <f t="shared" si="1"/>
        <v>1º Semestre</v>
      </c>
      <c r="L62" s="2" t="str">
        <f t="shared" si="2"/>
        <v>T2</v>
      </c>
      <c r="M62" s="2" t="str">
        <f t="shared" si="0"/>
        <v>abr</v>
      </c>
      <c r="N62" s="2">
        <v>4</v>
      </c>
    </row>
    <row r="63" spans="2:14" x14ac:dyDescent="0.3">
      <c r="B63" s="2">
        <v>62</v>
      </c>
      <c r="C63" s="4">
        <v>45750</v>
      </c>
      <c r="D63" s="3" t="s">
        <v>10</v>
      </c>
      <c r="E63" s="3" t="s">
        <v>16</v>
      </c>
      <c r="F63" s="3" t="s">
        <v>24</v>
      </c>
      <c r="G63" s="3" t="s">
        <v>33</v>
      </c>
      <c r="H63" s="2">
        <v>86</v>
      </c>
      <c r="I63" s="2">
        <v>7</v>
      </c>
      <c r="J63" s="2">
        <v>1</v>
      </c>
      <c r="K63" s="2" t="str">
        <f t="shared" si="1"/>
        <v>1º Semestre</v>
      </c>
      <c r="L63" s="2" t="str">
        <f t="shared" si="2"/>
        <v>T2</v>
      </c>
      <c r="M63" s="2" t="str">
        <f t="shared" si="0"/>
        <v>abr</v>
      </c>
      <c r="N63" s="2">
        <v>4</v>
      </c>
    </row>
    <row r="64" spans="2:14" x14ac:dyDescent="0.3">
      <c r="B64" s="2">
        <v>63</v>
      </c>
      <c r="C64" s="4">
        <v>45751</v>
      </c>
      <c r="D64" s="3" t="s">
        <v>11</v>
      </c>
      <c r="E64" s="3" t="s">
        <v>17</v>
      </c>
      <c r="F64" s="3" t="s">
        <v>25</v>
      </c>
      <c r="G64" s="3" t="s">
        <v>33</v>
      </c>
      <c r="H64" s="2">
        <v>40</v>
      </c>
      <c r="I64" s="2">
        <v>5</v>
      </c>
      <c r="J64" s="2">
        <v>3</v>
      </c>
      <c r="K64" s="2" t="str">
        <f t="shared" si="1"/>
        <v>1º Semestre</v>
      </c>
      <c r="L64" s="2" t="str">
        <f t="shared" si="2"/>
        <v>T2</v>
      </c>
      <c r="M64" s="2" t="str">
        <f t="shared" si="0"/>
        <v>abr</v>
      </c>
      <c r="N64" s="2">
        <v>4</v>
      </c>
    </row>
    <row r="65" spans="2:14" x14ac:dyDescent="0.3">
      <c r="B65" s="2">
        <v>64</v>
      </c>
      <c r="C65" s="4">
        <v>45754</v>
      </c>
      <c r="D65" s="3" t="s">
        <v>12</v>
      </c>
      <c r="E65" s="3" t="s">
        <v>18</v>
      </c>
      <c r="F65" s="3" t="s">
        <v>26</v>
      </c>
      <c r="G65" s="3" t="s">
        <v>32</v>
      </c>
      <c r="H65" s="2">
        <v>26</v>
      </c>
      <c r="I65" s="2">
        <v>2</v>
      </c>
      <c r="J65" s="2">
        <v>1</v>
      </c>
      <c r="K65" s="2" t="str">
        <f t="shared" si="1"/>
        <v>1º Semestre</v>
      </c>
      <c r="L65" s="2" t="str">
        <f t="shared" si="2"/>
        <v>T2</v>
      </c>
      <c r="M65" s="2" t="str">
        <f t="shared" si="0"/>
        <v>abr</v>
      </c>
      <c r="N65" s="2">
        <v>4</v>
      </c>
    </row>
    <row r="66" spans="2:14" x14ac:dyDescent="0.3">
      <c r="B66" s="2">
        <v>65</v>
      </c>
      <c r="C66" s="4">
        <v>45755</v>
      </c>
      <c r="D66" s="3" t="s">
        <v>9</v>
      </c>
      <c r="E66" s="3" t="s">
        <v>15</v>
      </c>
      <c r="F66" s="3" t="s">
        <v>23</v>
      </c>
      <c r="G66" s="3" t="s">
        <v>32</v>
      </c>
      <c r="H66" s="2">
        <v>100</v>
      </c>
      <c r="I66" s="2">
        <v>2</v>
      </c>
      <c r="J66" s="2">
        <v>1</v>
      </c>
      <c r="K66" s="2" t="str">
        <f t="shared" si="1"/>
        <v>1º Semestre</v>
      </c>
      <c r="L66" s="2" t="str">
        <f t="shared" si="2"/>
        <v>T2</v>
      </c>
      <c r="M66" s="2" t="str">
        <f t="shared" ref="M66:M129" si="3">TEXT(C66,"MMM")</f>
        <v>abr</v>
      </c>
      <c r="N66" s="2">
        <v>4</v>
      </c>
    </row>
    <row r="67" spans="2:14" x14ac:dyDescent="0.3">
      <c r="B67" s="2">
        <v>66</v>
      </c>
      <c r="C67" s="4">
        <v>45756</v>
      </c>
      <c r="D67" s="3" t="s">
        <v>13</v>
      </c>
      <c r="E67" s="3" t="s">
        <v>19</v>
      </c>
      <c r="F67" s="3" t="s">
        <v>28</v>
      </c>
      <c r="G67" s="3" t="s">
        <v>34</v>
      </c>
      <c r="H67" s="2">
        <v>30</v>
      </c>
      <c r="I67" s="2">
        <v>5</v>
      </c>
      <c r="J67" s="2">
        <v>1</v>
      </c>
      <c r="K67" s="2" t="str">
        <f t="shared" ref="K67:K130" si="4">IF(MONTH(M67 &amp; " 1")&lt;=6, "1º Semestre", "2º Semestre")</f>
        <v>1º Semestre</v>
      </c>
      <c r="L67" s="2" t="str">
        <f t="shared" ref="L67:L130" si="5">"T"&amp;ROUNDUP(VALUE(N67)/3,0)</f>
        <v>T2</v>
      </c>
      <c r="M67" s="2" t="str">
        <f t="shared" si="3"/>
        <v>abr</v>
      </c>
      <c r="N67" s="2">
        <v>4</v>
      </c>
    </row>
    <row r="68" spans="2:14" x14ac:dyDescent="0.3">
      <c r="B68" s="2">
        <v>67</v>
      </c>
      <c r="C68" s="4">
        <v>45757</v>
      </c>
      <c r="D68" s="3" t="s">
        <v>9</v>
      </c>
      <c r="E68" s="3" t="s">
        <v>21</v>
      </c>
      <c r="F68" s="3" t="s">
        <v>30</v>
      </c>
      <c r="G68" s="3" t="s">
        <v>33</v>
      </c>
      <c r="H68" s="2">
        <v>100</v>
      </c>
      <c r="I68" s="2">
        <v>3</v>
      </c>
      <c r="J68" s="2">
        <v>2</v>
      </c>
      <c r="K68" s="2" t="str">
        <f t="shared" si="4"/>
        <v>1º Semestre</v>
      </c>
      <c r="L68" s="2" t="str">
        <f t="shared" si="5"/>
        <v>T2</v>
      </c>
      <c r="M68" s="2" t="str">
        <f t="shared" si="3"/>
        <v>abr</v>
      </c>
      <c r="N68" s="2">
        <v>4</v>
      </c>
    </row>
    <row r="69" spans="2:14" x14ac:dyDescent="0.3">
      <c r="B69" s="2">
        <v>68</v>
      </c>
      <c r="C69" s="4">
        <v>45758</v>
      </c>
      <c r="D69" s="3" t="s">
        <v>12</v>
      </c>
      <c r="E69" s="3" t="s">
        <v>14</v>
      </c>
      <c r="F69" s="3" t="s">
        <v>27</v>
      </c>
      <c r="G69" s="3" t="s">
        <v>32</v>
      </c>
      <c r="H69" s="2">
        <v>26</v>
      </c>
      <c r="I69" s="2">
        <v>3</v>
      </c>
      <c r="J69" s="2">
        <v>1</v>
      </c>
      <c r="K69" s="2" t="str">
        <f t="shared" si="4"/>
        <v>1º Semestre</v>
      </c>
      <c r="L69" s="2" t="str">
        <f t="shared" si="5"/>
        <v>T2</v>
      </c>
      <c r="M69" s="2" t="str">
        <f t="shared" si="3"/>
        <v>abr</v>
      </c>
      <c r="N69" s="2">
        <v>4</v>
      </c>
    </row>
    <row r="70" spans="2:14" x14ac:dyDescent="0.3">
      <c r="B70" s="2">
        <v>69</v>
      </c>
      <c r="C70" s="4">
        <v>45761</v>
      </c>
      <c r="D70" s="3" t="s">
        <v>11</v>
      </c>
      <c r="E70" s="3" t="s">
        <v>16</v>
      </c>
      <c r="F70" s="3" t="s">
        <v>36</v>
      </c>
      <c r="G70" s="3" t="s">
        <v>34</v>
      </c>
      <c r="H70" s="2">
        <v>40</v>
      </c>
      <c r="I70" s="2">
        <v>8</v>
      </c>
      <c r="J70" s="2">
        <v>1</v>
      </c>
      <c r="K70" s="2" t="str">
        <f t="shared" si="4"/>
        <v>1º Semestre</v>
      </c>
      <c r="L70" s="2" t="str">
        <f t="shared" si="5"/>
        <v>T2</v>
      </c>
      <c r="M70" s="2" t="str">
        <f t="shared" si="3"/>
        <v>abr</v>
      </c>
      <c r="N70" s="2">
        <v>4</v>
      </c>
    </row>
    <row r="71" spans="2:14" x14ac:dyDescent="0.3">
      <c r="B71" s="2">
        <v>70</v>
      </c>
      <c r="C71" s="4">
        <v>45762</v>
      </c>
      <c r="D71" s="3" t="s">
        <v>9</v>
      </c>
      <c r="E71" s="3" t="s">
        <v>37</v>
      </c>
      <c r="F71" s="3" t="s">
        <v>38</v>
      </c>
      <c r="G71" s="3" t="s">
        <v>33</v>
      </c>
      <c r="H71" s="2">
        <v>110</v>
      </c>
      <c r="I71" s="2">
        <v>4</v>
      </c>
      <c r="J71" s="2">
        <v>3</v>
      </c>
      <c r="K71" s="2" t="str">
        <f t="shared" si="4"/>
        <v>1º Semestre</v>
      </c>
      <c r="L71" s="2" t="str">
        <f t="shared" si="5"/>
        <v>T2</v>
      </c>
      <c r="M71" s="2" t="str">
        <f t="shared" si="3"/>
        <v>abr</v>
      </c>
      <c r="N71" s="2">
        <v>4</v>
      </c>
    </row>
    <row r="72" spans="2:14" x14ac:dyDescent="0.3">
      <c r="B72" s="2">
        <v>71</v>
      </c>
      <c r="C72" s="4">
        <v>45763</v>
      </c>
      <c r="D72" s="3" t="s">
        <v>10</v>
      </c>
      <c r="E72" s="3" t="s">
        <v>17</v>
      </c>
      <c r="F72" s="3" t="s">
        <v>39</v>
      </c>
      <c r="G72" s="3" t="s">
        <v>33</v>
      </c>
      <c r="H72" s="2">
        <v>85</v>
      </c>
      <c r="I72" s="2">
        <v>4</v>
      </c>
      <c r="J72" s="2">
        <v>2</v>
      </c>
      <c r="K72" s="2" t="str">
        <f t="shared" si="4"/>
        <v>1º Semestre</v>
      </c>
      <c r="L72" s="2" t="str">
        <f t="shared" si="5"/>
        <v>T2</v>
      </c>
      <c r="M72" s="2" t="str">
        <f t="shared" si="3"/>
        <v>abr</v>
      </c>
      <c r="N72" s="2">
        <v>4</v>
      </c>
    </row>
    <row r="73" spans="2:14" x14ac:dyDescent="0.3">
      <c r="B73" s="2">
        <v>72</v>
      </c>
      <c r="C73" s="4">
        <v>45764</v>
      </c>
      <c r="D73" s="3" t="s">
        <v>13</v>
      </c>
      <c r="E73" s="3" t="s">
        <v>19</v>
      </c>
      <c r="F73" s="3" t="s">
        <v>28</v>
      </c>
      <c r="G73" s="3" t="s">
        <v>34</v>
      </c>
      <c r="H73" s="2">
        <v>25</v>
      </c>
      <c r="I73" s="2">
        <v>5</v>
      </c>
      <c r="J73" s="2">
        <v>4</v>
      </c>
      <c r="K73" s="2" t="str">
        <f t="shared" si="4"/>
        <v>1º Semestre</v>
      </c>
      <c r="L73" s="2" t="str">
        <f t="shared" si="5"/>
        <v>T2</v>
      </c>
      <c r="M73" s="2" t="str">
        <f t="shared" si="3"/>
        <v>abr</v>
      </c>
      <c r="N73" s="2">
        <v>4</v>
      </c>
    </row>
    <row r="74" spans="2:14" x14ac:dyDescent="0.3">
      <c r="B74" s="2">
        <v>73</v>
      </c>
      <c r="C74" s="4">
        <v>45769</v>
      </c>
      <c r="D74" s="3" t="s">
        <v>9</v>
      </c>
      <c r="E74" s="3" t="s">
        <v>15</v>
      </c>
      <c r="F74" s="3" t="s">
        <v>40</v>
      </c>
      <c r="G74" s="3" t="s">
        <v>32</v>
      </c>
      <c r="H74" s="2">
        <v>110</v>
      </c>
      <c r="I74" s="2">
        <v>2</v>
      </c>
      <c r="J74" s="2">
        <v>1</v>
      </c>
      <c r="K74" s="2" t="str">
        <f t="shared" si="4"/>
        <v>1º Semestre</v>
      </c>
      <c r="L74" s="2" t="str">
        <f t="shared" si="5"/>
        <v>T2</v>
      </c>
      <c r="M74" s="2" t="str">
        <f t="shared" si="3"/>
        <v>abr</v>
      </c>
      <c r="N74" s="2">
        <v>4</v>
      </c>
    </row>
    <row r="75" spans="2:14" x14ac:dyDescent="0.3">
      <c r="B75" s="2">
        <v>74</v>
      </c>
      <c r="C75" s="4">
        <v>45770</v>
      </c>
      <c r="D75" s="3" t="s">
        <v>12</v>
      </c>
      <c r="E75" s="3" t="s">
        <v>18</v>
      </c>
      <c r="F75" s="3" t="s">
        <v>31</v>
      </c>
      <c r="G75" s="3" t="s">
        <v>32</v>
      </c>
      <c r="H75" s="2">
        <v>26</v>
      </c>
      <c r="I75" s="2">
        <v>2</v>
      </c>
      <c r="J75" s="2">
        <v>1</v>
      </c>
      <c r="K75" s="2" t="str">
        <f t="shared" si="4"/>
        <v>1º Semestre</v>
      </c>
      <c r="L75" s="2" t="str">
        <f t="shared" si="5"/>
        <v>T2</v>
      </c>
      <c r="M75" s="2" t="str">
        <f t="shared" si="3"/>
        <v>abr</v>
      </c>
      <c r="N75" s="2">
        <v>4</v>
      </c>
    </row>
    <row r="76" spans="2:14" x14ac:dyDescent="0.3">
      <c r="B76" s="2">
        <v>75</v>
      </c>
      <c r="C76" s="4">
        <v>45771</v>
      </c>
      <c r="D76" s="3" t="s">
        <v>10</v>
      </c>
      <c r="E76" s="3" t="s">
        <v>16</v>
      </c>
      <c r="F76" s="3" t="s">
        <v>24</v>
      </c>
      <c r="G76" s="3" t="s">
        <v>33</v>
      </c>
      <c r="H76" s="2">
        <v>85</v>
      </c>
      <c r="I76" s="2">
        <v>6</v>
      </c>
      <c r="J76" s="2">
        <v>1</v>
      </c>
      <c r="K76" s="2" t="str">
        <f t="shared" si="4"/>
        <v>1º Semestre</v>
      </c>
      <c r="L76" s="2" t="str">
        <f t="shared" si="5"/>
        <v>T2</v>
      </c>
      <c r="M76" s="2" t="str">
        <f t="shared" si="3"/>
        <v>abr</v>
      </c>
      <c r="N76" s="2">
        <v>4</v>
      </c>
    </row>
    <row r="77" spans="2:14" x14ac:dyDescent="0.3">
      <c r="B77" s="2">
        <v>76</v>
      </c>
      <c r="C77" s="4">
        <v>45772</v>
      </c>
      <c r="D77" s="3" t="s">
        <v>9</v>
      </c>
      <c r="E77" s="3" t="s">
        <v>14</v>
      </c>
      <c r="F77" s="3" t="s">
        <v>22</v>
      </c>
      <c r="G77" s="3" t="s">
        <v>32</v>
      </c>
      <c r="H77" s="2">
        <v>100</v>
      </c>
      <c r="I77" s="2">
        <v>3</v>
      </c>
      <c r="J77" s="2">
        <v>2</v>
      </c>
      <c r="K77" s="2" t="str">
        <f t="shared" si="4"/>
        <v>1º Semestre</v>
      </c>
      <c r="L77" s="2" t="str">
        <f t="shared" si="5"/>
        <v>T2</v>
      </c>
      <c r="M77" s="2" t="str">
        <f t="shared" si="3"/>
        <v>abr</v>
      </c>
      <c r="N77" s="2">
        <v>4</v>
      </c>
    </row>
    <row r="78" spans="2:14" x14ac:dyDescent="0.3">
      <c r="B78" s="2">
        <v>77</v>
      </c>
      <c r="C78" s="4">
        <v>45775</v>
      </c>
      <c r="D78" s="3" t="s">
        <v>11</v>
      </c>
      <c r="E78" s="3" t="s">
        <v>17</v>
      </c>
      <c r="F78" s="3" t="s">
        <v>25</v>
      </c>
      <c r="G78" s="3" t="s">
        <v>33</v>
      </c>
      <c r="H78" s="2">
        <v>40</v>
      </c>
      <c r="I78" s="2">
        <v>5</v>
      </c>
      <c r="J78" s="2">
        <v>3</v>
      </c>
      <c r="K78" s="2" t="str">
        <f t="shared" si="4"/>
        <v>1º Semestre</v>
      </c>
      <c r="L78" s="2" t="str">
        <f t="shared" si="5"/>
        <v>T2</v>
      </c>
      <c r="M78" s="2" t="str">
        <f t="shared" si="3"/>
        <v>abr</v>
      </c>
      <c r="N78" s="2">
        <v>4</v>
      </c>
    </row>
    <row r="79" spans="2:14" x14ac:dyDescent="0.3">
      <c r="B79" s="2">
        <v>78</v>
      </c>
      <c r="C79" s="4">
        <v>45776</v>
      </c>
      <c r="D79" s="3" t="s">
        <v>9</v>
      </c>
      <c r="E79" s="3" t="s">
        <v>20</v>
      </c>
      <c r="F79" s="3" t="s">
        <v>29</v>
      </c>
      <c r="G79" s="3" t="s">
        <v>35</v>
      </c>
      <c r="H79" s="2">
        <v>110</v>
      </c>
      <c r="I79" s="2">
        <v>1</v>
      </c>
      <c r="J79" s="2">
        <v>0</v>
      </c>
      <c r="K79" s="2" t="str">
        <f t="shared" si="4"/>
        <v>1º Semestre</v>
      </c>
      <c r="L79" s="2" t="str">
        <f t="shared" si="5"/>
        <v>T2</v>
      </c>
      <c r="M79" s="2" t="str">
        <f t="shared" si="3"/>
        <v>abr</v>
      </c>
      <c r="N79" s="2">
        <v>4</v>
      </c>
    </row>
    <row r="80" spans="2:14" x14ac:dyDescent="0.3">
      <c r="B80" s="2">
        <v>79</v>
      </c>
      <c r="C80" s="4">
        <v>45776</v>
      </c>
      <c r="D80" s="3" t="s">
        <v>12</v>
      </c>
      <c r="E80" s="3" t="s">
        <v>14</v>
      </c>
      <c r="F80" s="3" t="s">
        <v>27</v>
      </c>
      <c r="G80" s="3" t="s">
        <v>32</v>
      </c>
      <c r="H80" s="2">
        <v>20</v>
      </c>
      <c r="I80" s="2">
        <v>2</v>
      </c>
      <c r="J80" s="2">
        <v>1</v>
      </c>
      <c r="K80" s="2" t="str">
        <f t="shared" si="4"/>
        <v>1º Semestre</v>
      </c>
      <c r="L80" s="2" t="str">
        <f t="shared" si="5"/>
        <v>T2</v>
      </c>
      <c r="M80" s="2" t="str">
        <f t="shared" si="3"/>
        <v>abr</v>
      </c>
      <c r="N80" s="2">
        <v>4</v>
      </c>
    </row>
    <row r="81" spans="2:14" x14ac:dyDescent="0.3">
      <c r="B81" s="2">
        <v>80</v>
      </c>
      <c r="C81" s="4">
        <v>45777</v>
      </c>
      <c r="D81" s="3" t="s">
        <v>11</v>
      </c>
      <c r="E81" s="3" t="s">
        <v>16</v>
      </c>
      <c r="F81" s="3" t="s">
        <v>36</v>
      </c>
      <c r="G81" s="3" t="s">
        <v>34</v>
      </c>
      <c r="H81" s="2">
        <v>40</v>
      </c>
      <c r="I81" s="2">
        <v>7</v>
      </c>
      <c r="J81" s="2">
        <v>1</v>
      </c>
      <c r="K81" s="2" t="str">
        <f t="shared" si="4"/>
        <v>1º Semestre</v>
      </c>
      <c r="L81" s="2" t="str">
        <f t="shared" si="5"/>
        <v>T2</v>
      </c>
      <c r="M81" s="2" t="str">
        <f t="shared" si="3"/>
        <v>abr</v>
      </c>
      <c r="N81" s="2">
        <v>4</v>
      </c>
    </row>
    <row r="82" spans="2:14" x14ac:dyDescent="0.3">
      <c r="B82" s="2">
        <v>81</v>
      </c>
      <c r="C82" s="4">
        <v>45779</v>
      </c>
      <c r="D82" s="3" t="s">
        <v>9</v>
      </c>
      <c r="E82" s="3" t="s">
        <v>14</v>
      </c>
      <c r="F82" s="3" t="s">
        <v>22</v>
      </c>
      <c r="G82" s="3" t="s">
        <v>32</v>
      </c>
      <c r="H82" s="2">
        <v>110</v>
      </c>
      <c r="I82" s="2">
        <v>3</v>
      </c>
      <c r="J82" s="2">
        <v>2</v>
      </c>
      <c r="K82" s="2" t="str">
        <f t="shared" si="4"/>
        <v>1º Semestre</v>
      </c>
      <c r="L82" s="2" t="str">
        <f t="shared" si="5"/>
        <v>T2</v>
      </c>
      <c r="M82" s="2" t="str">
        <f t="shared" si="3"/>
        <v>mai</v>
      </c>
      <c r="N82" s="2">
        <v>5</v>
      </c>
    </row>
    <row r="83" spans="2:14" x14ac:dyDescent="0.3">
      <c r="B83" s="2">
        <v>82</v>
      </c>
      <c r="C83" s="4">
        <v>45782</v>
      </c>
      <c r="D83" s="3" t="s">
        <v>10</v>
      </c>
      <c r="E83" s="3" t="s">
        <v>16</v>
      </c>
      <c r="F83" s="3" t="s">
        <v>24</v>
      </c>
      <c r="G83" s="3" t="s">
        <v>33</v>
      </c>
      <c r="H83" s="2">
        <v>85</v>
      </c>
      <c r="I83" s="2">
        <v>6</v>
      </c>
      <c r="J83" s="2">
        <v>0</v>
      </c>
      <c r="K83" s="2" t="str">
        <f t="shared" si="4"/>
        <v>1º Semestre</v>
      </c>
      <c r="L83" s="2" t="str">
        <f t="shared" si="5"/>
        <v>T2</v>
      </c>
      <c r="M83" s="2" t="str">
        <f t="shared" si="3"/>
        <v>mai</v>
      </c>
      <c r="N83" s="2">
        <v>5</v>
      </c>
    </row>
    <row r="84" spans="2:14" x14ac:dyDescent="0.3">
      <c r="B84" s="2">
        <v>83</v>
      </c>
      <c r="C84" s="4">
        <v>45783</v>
      </c>
      <c r="D84" s="3" t="s">
        <v>11</v>
      </c>
      <c r="E84" s="3" t="s">
        <v>17</v>
      </c>
      <c r="F84" s="3" t="s">
        <v>25</v>
      </c>
      <c r="G84" s="3" t="s">
        <v>33</v>
      </c>
      <c r="H84" s="2">
        <v>40</v>
      </c>
      <c r="I84" s="2">
        <v>5</v>
      </c>
      <c r="J84" s="2">
        <v>3</v>
      </c>
      <c r="K84" s="2" t="str">
        <f t="shared" si="4"/>
        <v>1º Semestre</v>
      </c>
      <c r="L84" s="2" t="str">
        <f t="shared" si="5"/>
        <v>T2</v>
      </c>
      <c r="M84" s="2" t="str">
        <f t="shared" si="3"/>
        <v>mai</v>
      </c>
      <c r="N84" s="2">
        <v>5</v>
      </c>
    </row>
    <row r="85" spans="2:14" x14ac:dyDescent="0.3">
      <c r="B85" s="2">
        <v>84</v>
      </c>
      <c r="C85" s="4">
        <v>45784</v>
      </c>
      <c r="D85" s="3" t="s">
        <v>12</v>
      </c>
      <c r="E85" s="3" t="s">
        <v>18</v>
      </c>
      <c r="F85" s="3" t="s">
        <v>26</v>
      </c>
      <c r="G85" s="3" t="s">
        <v>32</v>
      </c>
      <c r="H85" s="2">
        <v>20</v>
      </c>
      <c r="I85" s="2">
        <v>2</v>
      </c>
      <c r="J85" s="2">
        <v>1</v>
      </c>
      <c r="K85" s="2" t="str">
        <f t="shared" si="4"/>
        <v>1º Semestre</v>
      </c>
      <c r="L85" s="2" t="str">
        <f t="shared" si="5"/>
        <v>T2</v>
      </c>
      <c r="M85" s="2" t="str">
        <f t="shared" si="3"/>
        <v>mai</v>
      </c>
      <c r="N85" s="2">
        <v>5</v>
      </c>
    </row>
    <row r="86" spans="2:14" x14ac:dyDescent="0.3">
      <c r="B86" s="2">
        <v>85</v>
      </c>
      <c r="C86" s="4">
        <v>45785</v>
      </c>
      <c r="D86" s="3" t="s">
        <v>9</v>
      </c>
      <c r="E86" s="3" t="s">
        <v>15</v>
      </c>
      <c r="F86" s="3" t="s">
        <v>23</v>
      </c>
      <c r="G86" s="3" t="s">
        <v>32</v>
      </c>
      <c r="H86" s="2">
        <v>100</v>
      </c>
      <c r="I86" s="2">
        <v>2</v>
      </c>
      <c r="J86" s="2">
        <v>1</v>
      </c>
      <c r="K86" s="2" t="str">
        <f t="shared" si="4"/>
        <v>1º Semestre</v>
      </c>
      <c r="L86" s="2" t="str">
        <f t="shared" si="5"/>
        <v>T2</v>
      </c>
      <c r="M86" s="2" t="str">
        <f t="shared" si="3"/>
        <v>mai</v>
      </c>
      <c r="N86" s="2">
        <v>5</v>
      </c>
    </row>
    <row r="87" spans="2:14" x14ac:dyDescent="0.3">
      <c r="B87" s="2">
        <v>86</v>
      </c>
      <c r="C87" s="4">
        <v>45786</v>
      </c>
      <c r="D87" s="3" t="s">
        <v>13</v>
      </c>
      <c r="E87" s="3" t="s">
        <v>19</v>
      </c>
      <c r="F87" s="3" t="s">
        <v>28</v>
      </c>
      <c r="G87" s="3" t="s">
        <v>34</v>
      </c>
      <c r="H87" s="2">
        <v>25</v>
      </c>
      <c r="I87" s="2">
        <v>6</v>
      </c>
      <c r="J87" s="2">
        <v>0</v>
      </c>
      <c r="K87" s="2" t="str">
        <f t="shared" si="4"/>
        <v>1º Semestre</v>
      </c>
      <c r="L87" s="2" t="str">
        <f t="shared" si="5"/>
        <v>T2</v>
      </c>
      <c r="M87" s="2" t="str">
        <f t="shared" si="3"/>
        <v>mai</v>
      </c>
      <c r="N87" s="2">
        <v>5</v>
      </c>
    </row>
    <row r="88" spans="2:14" x14ac:dyDescent="0.3">
      <c r="B88" s="2">
        <v>87</v>
      </c>
      <c r="C88" s="4">
        <v>45789</v>
      </c>
      <c r="D88" s="3" t="s">
        <v>9</v>
      </c>
      <c r="E88" s="3" t="s">
        <v>21</v>
      </c>
      <c r="F88" s="3" t="s">
        <v>30</v>
      </c>
      <c r="G88" s="3" t="s">
        <v>33</v>
      </c>
      <c r="H88" s="2">
        <v>100</v>
      </c>
      <c r="I88" s="2">
        <v>3</v>
      </c>
      <c r="J88" s="2">
        <v>2</v>
      </c>
      <c r="K88" s="2" t="str">
        <f t="shared" si="4"/>
        <v>1º Semestre</v>
      </c>
      <c r="L88" s="2" t="str">
        <f t="shared" si="5"/>
        <v>T2</v>
      </c>
      <c r="M88" s="2" t="str">
        <f t="shared" si="3"/>
        <v>mai</v>
      </c>
      <c r="N88" s="2">
        <v>5</v>
      </c>
    </row>
    <row r="89" spans="2:14" x14ac:dyDescent="0.3">
      <c r="B89" s="2">
        <v>88</v>
      </c>
      <c r="C89" s="4">
        <v>45790</v>
      </c>
      <c r="D89" s="3" t="s">
        <v>12</v>
      </c>
      <c r="E89" s="3" t="s">
        <v>14</v>
      </c>
      <c r="F89" s="3" t="s">
        <v>27</v>
      </c>
      <c r="G89" s="3" t="s">
        <v>32</v>
      </c>
      <c r="H89" s="2">
        <v>20</v>
      </c>
      <c r="I89" s="2">
        <v>2</v>
      </c>
      <c r="J89" s="2">
        <v>1</v>
      </c>
      <c r="K89" s="2" t="str">
        <f t="shared" si="4"/>
        <v>1º Semestre</v>
      </c>
      <c r="L89" s="2" t="str">
        <f t="shared" si="5"/>
        <v>T2</v>
      </c>
      <c r="M89" s="2" t="str">
        <f t="shared" si="3"/>
        <v>mai</v>
      </c>
      <c r="N89" s="2">
        <v>5</v>
      </c>
    </row>
    <row r="90" spans="2:14" x14ac:dyDescent="0.3">
      <c r="B90" s="2">
        <v>89</v>
      </c>
      <c r="C90" s="4">
        <v>45791</v>
      </c>
      <c r="D90" s="3" t="s">
        <v>11</v>
      </c>
      <c r="E90" s="3" t="s">
        <v>16</v>
      </c>
      <c r="F90" s="3" t="s">
        <v>36</v>
      </c>
      <c r="G90" s="3" t="s">
        <v>34</v>
      </c>
      <c r="H90" s="2">
        <v>40</v>
      </c>
      <c r="I90" s="2">
        <v>7</v>
      </c>
      <c r="J90" s="2">
        <v>1</v>
      </c>
      <c r="K90" s="2" t="str">
        <f t="shared" si="4"/>
        <v>1º Semestre</v>
      </c>
      <c r="L90" s="2" t="str">
        <f t="shared" si="5"/>
        <v>T2</v>
      </c>
      <c r="M90" s="2" t="str">
        <f t="shared" si="3"/>
        <v>mai</v>
      </c>
      <c r="N90" s="2">
        <v>5</v>
      </c>
    </row>
    <row r="91" spans="2:14" x14ac:dyDescent="0.3">
      <c r="B91" s="2">
        <v>90</v>
      </c>
      <c r="C91" s="4">
        <v>45792</v>
      </c>
      <c r="D91" s="3" t="s">
        <v>9</v>
      </c>
      <c r="E91" s="3" t="s">
        <v>37</v>
      </c>
      <c r="F91" s="3" t="s">
        <v>38</v>
      </c>
      <c r="G91" s="3" t="s">
        <v>33</v>
      </c>
      <c r="H91" s="2">
        <v>100</v>
      </c>
      <c r="I91" s="2">
        <v>4</v>
      </c>
      <c r="J91" s="2">
        <v>3</v>
      </c>
      <c r="K91" s="2" t="str">
        <f t="shared" si="4"/>
        <v>1º Semestre</v>
      </c>
      <c r="L91" s="2" t="str">
        <f t="shared" si="5"/>
        <v>T2</v>
      </c>
      <c r="M91" s="2" t="str">
        <f t="shared" si="3"/>
        <v>mai</v>
      </c>
      <c r="N91" s="2">
        <v>5</v>
      </c>
    </row>
    <row r="92" spans="2:14" x14ac:dyDescent="0.3">
      <c r="B92" s="2">
        <v>91</v>
      </c>
      <c r="C92" s="4">
        <v>45793</v>
      </c>
      <c r="D92" s="3" t="s">
        <v>10</v>
      </c>
      <c r="E92" s="3" t="s">
        <v>17</v>
      </c>
      <c r="F92" s="3" t="s">
        <v>39</v>
      </c>
      <c r="G92" s="3" t="s">
        <v>33</v>
      </c>
      <c r="H92" s="2">
        <v>88</v>
      </c>
      <c r="I92" s="2">
        <v>4</v>
      </c>
      <c r="J92" s="2">
        <v>2</v>
      </c>
      <c r="K92" s="2" t="str">
        <f t="shared" si="4"/>
        <v>1º Semestre</v>
      </c>
      <c r="L92" s="2" t="str">
        <f t="shared" si="5"/>
        <v>T2</v>
      </c>
      <c r="M92" s="2" t="str">
        <f t="shared" si="3"/>
        <v>mai</v>
      </c>
      <c r="N92" s="2">
        <v>5</v>
      </c>
    </row>
    <row r="93" spans="2:14" x14ac:dyDescent="0.3">
      <c r="B93" s="2">
        <v>92</v>
      </c>
      <c r="C93" s="4">
        <v>45796</v>
      </c>
      <c r="D93" s="3" t="s">
        <v>13</v>
      </c>
      <c r="E93" s="3" t="s">
        <v>19</v>
      </c>
      <c r="F93" s="3" t="s">
        <v>28</v>
      </c>
      <c r="G93" s="3" t="s">
        <v>34</v>
      </c>
      <c r="H93" s="2">
        <v>25</v>
      </c>
      <c r="I93" s="2">
        <v>6</v>
      </c>
      <c r="J93" s="2">
        <v>1</v>
      </c>
      <c r="K93" s="2" t="str">
        <f t="shared" si="4"/>
        <v>1º Semestre</v>
      </c>
      <c r="L93" s="2" t="str">
        <f t="shared" si="5"/>
        <v>T2</v>
      </c>
      <c r="M93" s="2" t="str">
        <f t="shared" si="3"/>
        <v>mai</v>
      </c>
      <c r="N93" s="2">
        <v>5</v>
      </c>
    </row>
    <row r="94" spans="2:14" x14ac:dyDescent="0.3">
      <c r="B94" s="2">
        <v>93</v>
      </c>
      <c r="C94" s="4">
        <v>45797</v>
      </c>
      <c r="D94" s="3" t="s">
        <v>9</v>
      </c>
      <c r="E94" s="3" t="s">
        <v>15</v>
      </c>
      <c r="F94" s="3" t="s">
        <v>40</v>
      </c>
      <c r="G94" s="3" t="s">
        <v>32</v>
      </c>
      <c r="H94" s="2">
        <v>100</v>
      </c>
      <c r="I94" s="2">
        <v>2</v>
      </c>
      <c r="J94" s="2">
        <v>1</v>
      </c>
      <c r="K94" s="2" t="str">
        <f t="shared" si="4"/>
        <v>1º Semestre</v>
      </c>
      <c r="L94" s="2" t="str">
        <f t="shared" si="5"/>
        <v>T2</v>
      </c>
      <c r="M94" s="2" t="str">
        <f t="shared" si="3"/>
        <v>mai</v>
      </c>
      <c r="N94" s="2">
        <v>5</v>
      </c>
    </row>
    <row r="95" spans="2:14" x14ac:dyDescent="0.3">
      <c r="B95" s="2">
        <v>94</v>
      </c>
      <c r="C95" s="4">
        <v>45798</v>
      </c>
      <c r="D95" s="3" t="s">
        <v>12</v>
      </c>
      <c r="E95" s="3" t="s">
        <v>18</v>
      </c>
      <c r="F95" s="3" t="s">
        <v>31</v>
      </c>
      <c r="G95" s="3" t="s">
        <v>32</v>
      </c>
      <c r="H95" s="2">
        <v>20</v>
      </c>
      <c r="I95" s="2">
        <v>2</v>
      </c>
      <c r="J95" s="2">
        <v>1</v>
      </c>
      <c r="K95" s="2" t="str">
        <f t="shared" si="4"/>
        <v>1º Semestre</v>
      </c>
      <c r="L95" s="2" t="str">
        <f t="shared" si="5"/>
        <v>T2</v>
      </c>
      <c r="M95" s="2" t="str">
        <f t="shared" si="3"/>
        <v>mai</v>
      </c>
      <c r="N95" s="2">
        <v>5</v>
      </c>
    </row>
    <row r="96" spans="2:14" x14ac:dyDescent="0.3">
      <c r="B96" s="2">
        <v>95</v>
      </c>
      <c r="C96" s="4">
        <v>45799</v>
      </c>
      <c r="D96" s="3" t="s">
        <v>10</v>
      </c>
      <c r="E96" s="3" t="s">
        <v>16</v>
      </c>
      <c r="F96" s="3" t="s">
        <v>24</v>
      </c>
      <c r="G96" s="3" t="s">
        <v>33</v>
      </c>
      <c r="H96" s="2">
        <v>85</v>
      </c>
      <c r="I96" s="2">
        <v>6</v>
      </c>
      <c r="J96" s="2">
        <v>1</v>
      </c>
      <c r="K96" s="2" t="str">
        <f t="shared" si="4"/>
        <v>1º Semestre</v>
      </c>
      <c r="L96" s="2" t="str">
        <f t="shared" si="5"/>
        <v>T2</v>
      </c>
      <c r="M96" s="2" t="str">
        <f t="shared" si="3"/>
        <v>mai</v>
      </c>
      <c r="N96" s="2">
        <v>5</v>
      </c>
    </row>
    <row r="97" spans="2:14" x14ac:dyDescent="0.3">
      <c r="B97" s="2">
        <v>96</v>
      </c>
      <c r="C97" s="4">
        <v>45800</v>
      </c>
      <c r="D97" s="3" t="s">
        <v>9</v>
      </c>
      <c r="E97" s="3" t="s">
        <v>14</v>
      </c>
      <c r="F97" s="3" t="s">
        <v>22</v>
      </c>
      <c r="G97" s="3" t="s">
        <v>32</v>
      </c>
      <c r="H97" s="2">
        <v>100</v>
      </c>
      <c r="I97" s="2">
        <v>3</v>
      </c>
      <c r="J97" s="2">
        <v>2</v>
      </c>
      <c r="K97" s="2" t="str">
        <f t="shared" si="4"/>
        <v>1º Semestre</v>
      </c>
      <c r="L97" s="2" t="str">
        <f t="shared" si="5"/>
        <v>T2</v>
      </c>
      <c r="M97" s="2" t="str">
        <f t="shared" si="3"/>
        <v>mai</v>
      </c>
      <c r="N97" s="2">
        <v>5</v>
      </c>
    </row>
    <row r="98" spans="2:14" x14ac:dyDescent="0.3">
      <c r="B98" s="2">
        <v>97</v>
      </c>
      <c r="C98" s="4">
        <v>45803</v>
      </c>
      <c r="D98" s="3" t="s">
        <v>11</v>
      </c>
      <c r="E98" s="3" t="s">
        <v>17</v>
      </c>
      <c r="F98" s="3" t="s">
        <v>25</v>
      </c>
      <c r="G98" s="3" t="s">
        <v>33</v>
      </c>
      <c r="H98" s="2">
        <v>40</v>
      </c>
      <c r="I98" s="2">
        <v>4</v>
      </c>
      <c r="J98" s="2">
        <v>3</v>
      </c>
      <c r="K98" s="2" t="str">
        <f t="shared" si="4"/>
        <v>1º Semestre</v>
      </c>
      <c r="L98" s="2" t="str">
        <f t="shared" si="5"/>
        <v>T2</v>
      </c>
      <c r="M98" s="2" t="str">
        <f t="shared" si="3"/>
        <v>mai</v>
      </c>
      <c r="N98" s="2">
        <v>5</v>
      </c>
    </row>
    <row r="99" spans="2:14" x14ac:dyDescent="0.3">
      <c r="B99" s="2">
        <v>98</v>
      </c>
      <c r="C99" s="4">
        <v>45804</v>
      </c>
      <c r="D99" s="3" t="s">
        <v>9</v>
      </c>
      <c r="E99" s="3" t="s">
        <v>20</v>
      </c>
      <c r="F99" s="3" t="s">
        <v>29</v>
      </c>
      <c r="G99" s="3" t="s">
        <v>35</v>
      </c>
      <c r="H99" s="2">
        <v>100</v>
      </c>
      <c r="I99" s="2">
        <v>1</v>
      </c>
      <c r="J99" s="2">
        <v>1</v>
      </c>
      <c r="K99" s="2" t="str">
        <f t="shared" si="4"/>
        <v>1º Semestre</v>
      </c>
      <c r="L99" s="2" t="str">
        <f t="shared" si="5"/>
        <v>T2</v>
      </c>
      <c r="M99" s="2" t="str">
        <f t="shared" si="3"/>
        <v>mai</v>
      </c>
      <c r="N99" s="2">
        <v>5</v>
      </c>
    </row>
    <row r="100" spans="2:14" x14ac:dyDescent="0.3">
      <c r="B100" s="2">
        <v>99</v>
      </c>
      <c r="C100" s="4">
        <v>45805</v>
      </c>
      <c r="D100" s="3" t="s">
        <v>12</v>
      </c>
      <c r="E100" s="3" t="s">
        <v>14</v>
      </c>
      <c r="F100" s="3" t="s">
        <v>27</v>
      </c>
      <c r="G100" s="3" t="s">
        <v>32</v>
      </c>
      <c r="H100" s="2">
        <v>20</v>
      </c>
      <c r="I100" s="2">
        <v>2</v>
      </c>
      <c r="J100" s="2">
        <v>1</v>
      </c>
      <c r="K100" s="2" t="str">
        <f t="shared" si="4"/>
        <v>1º Semestre</v>
      </c>
      <c r="L100" s="2" t="str">
        <f t="shared" si="5"/>
        <v>T2</v>
      </c>
      <c r="M100" s="2" t="str">
        <f t="shared" si="3"/>
        <v>mai</v>
      </c>
      <c r="N100" s="2">
        <v>5</v>
      </c>
    </row>
    <row r="101" spans="2:14" x14ac:dyDescent="0.3">
      <c r="B101" s="2">
        <v>100</v>
      </c>
      <c r="C101" s="4">
        <v>45807</v>
      </c>
      <c r="D101" s="3" t="s">
        <v>11</v>
      </c>
      <c r="E101" s="3" t="s">
        <v>16</v>
      </c>
      <c r="F101" s="3" t="s">
        <v>36</v>
      </c>
      <c r="G101" s="3" t="s">
        <v>34</v>
      </c>
      <c r="H101" s="2">
        <v>40</v>
      </c>
      <c r="I101" s="2">
        <v>6</v>
      </c>
      <c r="J101" s="2">
        <v>1</v>
      </c>
      <c r="K101" s="2" t="str">
        <f t="shared" si="4"/>
        <v>1º Semestre</v>
      </c>
      <c r="L101" s="2" t="str">
        <f t="shared" si="5"/>
        <v>T2</v>
      </c>
      <c r="M101" s="2" t="str">
        <f t="shared" si="3"/>
        <v>mai</v>
      </c>
      <c r="N101" s="2">
        <v>5</v>
      </c>
    </row>
    <row r="102" spans="2:14" x14ac:dyDescent="0.3">
      <c r="B102" s="2">
        <v>101</v>
      </c>
      <c r="C102" s="4">
        <v>45810</v>
      </c>
      <c r="D102" s="3" t="s">
        <v>9</v>
      </c>
      <c r="E102" s="3" t="s">
        <v>14</v>
      </c>
      <c r="F102" s="3" t="s">
        <v>22</v>
      </c>
      <c r="G102" s="3" t="s">
        <v>32</v>
      </c>
      <c r="H102" s="2">
        <v>110</v>
      </c>
      <c r="I102" s="2">
        <v>2</v>
      </c>
      <c r="J102" s="2">
        <v>1</v>
      </c>
      <c r="K102" s="2" t="str">
        <f t="shared" si="4"/>
        <v>1º Semestre</v>
      </c>
      <c r="L102" s="2" t="str">
        <f t="shared" si="5"/>
        <v>T2</v>
      </c>
      <c r="M102" s="2" t="str">
        <f t="shared" si="3"/>
        <v>jun</v>
      </c>
      <c r="N102" s="2">
        <v>6</v>
      </c>
    </row>
    <row r="103" spans="2:14" x14ac:dyDescent="0.3">
      <c r="B103" s="2">
        <v>102</v>
      </c>
      <c r="C103" s="4">
        <v>45811</v>
      </c>
      <c r="D103" s="3" t="s">
        <v>10</v>
      </c>
      <c r="E103" s="3" t="s">
        <v>16</v>
      </c>
      <c r="F103" s="3" t="s">
        <v>24</v>
      </c>
      <c r="G103" s="3" t="s">
        <v>33</v>
      </c>
      <c r="H103" s="2">
        <v>80</v>
      </c>
      <c r="I103" s="2">
        <v>5</v>
      </c>
      <c r="J103" s="2">
        <v>1</v>
      </c>
      <c r="K103" s="2" t="str">
        <f t="shared" si="4"/>
        <v>1º Semestre</v>
      </c>
      <c r="L103" s="2" t="str">
        <f t="shared" si="5"/>
        <v>T2</v>
      </c>
      <c r="M103" s="2" t="str">
        <f t="shared" si="3"/>
        <v>jun</v>
      </c>
      <c r="N103" s="2">
        <v>6</v>
      </c>
    </row>
    <row r="104" spans="2:14" x14ac:dyDescent="0.3">
      <c r="B104" s="2">
        <v>103</v>
      </c>
      <c r="C104" s="4">
        <v>45812</v>
      </c>
      <c r="D104" s="3" t="s">
        <v>11</v>
      </c>
      <c r="E104" s="3" t="s">
        <v>17</v>
      </c>
      <c r="F104" s="3" t="s">
        <v>25</v>
      </c>
      <c r="G104" s="3" t="s">
        <v>33</v>
      </c>
      <c r="H104" s="2">
        <v>50</v>
      </c>
      <c r="I104" s="2">
        <v>4</v>
      </c>
      <c r="J104" s="2">
        <v>2</v>
      </c>
      <c r="K104" s="2" t="str">
        <f t="shared" si="4"/>
        <v>1º Semestre</v>
      </c>
      <c r="L104" s="2" t="str">
        <f t="shared" si="5"/>
        <v>T2</v>
      </c>
      <c r="M104" s="2" t="str">
        <f t="shared" si="3"/>
        <v>jun</v>
      </c>
      <c r="N104" s="2">
        <v>6</v>
      </c>
    </row>
    <row r="105" spans="2:14" x14ac:dyDescent="0.3">
      <c r="B105" s="2">
        <v>104</v>
      </c>
      <c r="C105" s="4">
        <v>45813</v>
      </c>
      <c r="D105" s="3" t="s">
        <v>12</v>
      </c>
      <c r="E105" s="3" t="s">
        <v>18</v>
      </c>
      <c r="F105" s="3" t="s">
        <v>26</v>
      </c>
      <c r="G105" s="3" t="s">
        <v>32</v>
      </c>
      <c r="H105" s="2">
        <v>30</v>
      </c>
      <c r="I105" s="2">
        <v>1</v>
      </c>
      <c r="J105" s="2">
        <v>1</v>
      </c>
      <c r="K105" s="2" t="str">
        <f t="shared" si="4"/>
        <v>1º Semestre</v>
      </c>
      <c r="L105" s="2" t="str">
        <f t="shared" si="5"/>
        <v>T2</v>
      </c>
      <c r="M105" s="2" t="str">
        <f t="shared" si="3"/>
        <v>jun</v>
      </c>
      <c r="N105" s="2">
        <v>6</v>
      </c>
    </row>
    <row r="106" spans="2:14" x14ac:dyDescent="0.3">
      <c r="B106" s="2">
        <v>105</v>
      </c>
      <c r="C106" s="4">
        <v>45814</v>
      </c>
      <c r="D106" s="3" t="s">
        <v>9</v>
      </c>
      <c r="E106" s="3" t="s">
        <v>15</v>
      </c>
      <c r="F106" s="3" t="s">
        <v>23</v>
      </c>
      <c r="G106" s="3" t="s">
        <v>32</v>
      </c>
      <c r="H106" s="2">
        <v>110</v>
      </c>
      <c r="I106" s="2">
        <v>2</v>
      </c>
      <c r="J106" s="2">
        <v>1</v>
      </c>
      <c r="K106" s="2" t="str">
        <f t="shared" si="4"/>
        <v>1º Semestre</v>
      </c>
      <c r="L106" s="2" t="str">
        <f t="shared" si="5"/>
        <v>T2</v>
      </c>
      <c r="M106" s="2" t="str">
        <f t="shared" si="3"/>
        <v>jun</v>
      </c>
      <c r="N106" s="2">
        <v>6</v>
      </c>
    </row>
    <row r="107" spans="2:14" x14ac:dyDescent="0.3">
      <c r="B107" s="2">
        <v>106</v>
      </c>
      <c r="C107" s="4">
        <v>45817</v>
      </c>
      <c r="D107" s="3" t="s">
        <v>13</v>
      </c>
      <c r="E107" s="3" t="s">
        <v>19</v>
      </c>
      <c r="F107" s="3" t="s">
        <v>28</v>
      </c>
      <c r="G107" s="3" t="s">
        <v>34</v>
      </c>
      <c r="H107" s="2">
        <v>25</v>
      </c>
      <c r="I107" s="2">
        <v>5</v>
      </c>
      <c r="J107" s="2">
        <v>0</v>
      </c>
      <c r="K107" s="2" t="str">
        <f t="shared" si="4"/>
        <v>1º Semestre</v>
      </c>
      <c r="L107" s="2" t="str">
        <f t="shared" si="5"/>
        <v>T2</v>
      </c>
      <c r="M107" s="2" t="str">
        <f t="shared" si="3"/>
        <v>jun</v>
      </c>
      <c r="N107" s="2">
        <v>6</v>
      </c>
    </row>
    <row r="108" spans="2:14" x14ac:dyDescent="0.3">
      <c r="B108" s="2">
        <v>107</v>
      </c>
      <c r="C108" s="4">
        <v>45818</v>
      </c>
      <c r="D108" s="3" t="s">
        <v>9</v>
      </c>
      <c r="E108" s="3" t="s">
        <v>21</v>
      </c>
      <c r="F108" s="3" t="s">
        <v>30</v>
      </c>
      <c r="G108" s="3" t="s">
        <v>33</v>
      </c>
      <c r="H108" s="2">
        <v>110</v>
      </c>
      <c r="I108" s="2">
        <v>2</v>
      </c>
      <c r="J108" s="2">
        <v>1</v>
      </c>
      <c r="K108" s="2" t="str">
        <f t="shared" si="4"/>
        <v>1º Semestre</v>
      </c>
      <c r="L108" s="2" t="str">
        <f t="shared" si="5"/>
        <v>T2</v>
      </c>
      <c r="M108" s="2" t="str">
        <f t="shared" si="3"/>
        <v>jun</v>
      </c>
      <c r="N108" s="2">
        <v>6</v>
      </c>
    </row>
    <row r="109" spans="2:14" x14ac:dyDescent="0.3">
      <c r="B109" s="2">
        <v>108</v>
      </c>
      <c r="C109" s="4">
        <v>45819</v>
      </c>
      <c r="D109" s="3" t="s">
        <v>12</v>
      </c>
      <c r="E109" s="3" t="s">
        <v>14</v>
      </c>
      <c r="F109" s="3" t="s">
        <v>27</v>
      </c>
      <c r="G109" s="3" t="s">
        <v>32</v>
      </c>
      <c r="H109" s="2">
        <v>30</v>
      </c>
      <c r="I109" s="2">
        <v>2</v>
      </c>
      <c r="J109" s="2">
        <v>1</v>
      </c>
      <c r="K109" s="2" t="str">
        <f t="shared" si="4"/>
        <v>1º Semestre</v>
      </c>
      <c r="L109" s="2" t="str">
        <f t="shared" si="5"/>
        <v>T2</v>
      </c>
      <c r="M109" s="2" t="str">
        <f t="shared" si="3"/>
        <v>jun</v>
      </c>
      <c r="N109" s="2">
        <v>6</v>
      </c>
    </row>
    <row r="110" spans="2:14" x14ac:dyDescent="0.3">
      <c r="B110" s="2">
        <v>109</v>
      </c>
      <c r="C110" s="4">
        <v>45820</v>
      </c>
      <c r="D110" s="3" t="s">
        <v>11</v>
      </c>
      <c r="E110" s="3" t="s">
        <v>16</v>
      </c>
      <c r="F110" s="3" t="s">
        <v>36</v>
      </c>
      <c r="G110" s="3" t="s">
        <v>34</v>
      </c>
      <c r="H110" s="2">
        <v>50</v>
      </c>
      <c r="I110" s="2">
        <v>6</v>
      </c>
      <c r="J110" s="2">
        <v>1</v>
      </c>
      <c r="K110" s="2" t="str">
        <f t="shared" si="4"/>
        <v>1º Semestre</v>
      </c>
      <c r="L110" s="2" t="str">
        <f t="shared" si="5"/>
        <v>T2</v>
      </c>
      <c r="M110" s="2" t="str">
        <f t="shared" si="3"/>
        <v>jun</v>
      </c>
      <c r="N110" s="2">
        <v>6</v>
      </c>
    </row>
    <row r="111" spans="2:14" x14ac:dyDescent="0.3">
      <c r="B111" s="2">
        <v>110</v>
      </c>
      <c r="C111" s="4">
        <v>45821</v>
      </c>
      <c r="D111" s="3" t="s">
        <v>9</v>
      </c>
      <c r="E111" s="3" t="s">
        <v>37</v>
      </c>
      <c r="F111" s="3" t="s">
        <v>38</v>
      </c>
      <c r="G111" s="3" t="s">
        <v>33</v>
      </c>
      <c r="H111" s="2">
        <v>109</v>
      </c>
      <c r="I111" s="2">
        <v>3</v>
      </c>
      <c r="J111" s="2">
        <v>2</v>
      </c>
      <c r="K111" s="2" t="str">
        <f t="shared" si="4"/>
        <v>1º Semestre</v>
      </c>
      <c r="L111" s="2" t="str">
        <f t="shared" si="5"/>
        <v>T2</v>
      </c>
      <c r="M111" s="2" t="str">
        <f t="shared" si="3"/>
        <v>jun</v>
      </c>
      <c r="N111" s="2">
        <v>6</v>
      </c>
    </row>
    <row r="112" spans="2:14" x14ac:dyDescent="0.3">
      <c r="B112" s="2">
        <v>111</v>
      </c>
      <c r="C112" s="4">
        <v>45824</v>
      </c>
      <c r="D112" s="3" t="s">
        <v>10</v>
      </c>
      <c r="E112" s="3" t="s">
        <v>17</v>
      </c>
      <c r="F112" s="3" t="s">
        <v>39</v>
      </c>
      <c r="G112" s="3" t="s">
        <v>33</v>
      </c>
      <c r="H112" s="2">
        <v>80</v>
      </c>
      <c r="I112" s="2">
        <v>3</v>
      </c>
      <c r="J112" s="2">
        <v>2</v>
      </c>
      <c r="K112" s="2" t="str">
        <f t="shared" si="4"/>
        <v>1º Semestre</v>
      </c>
      <c r="L112" s="2" t="str">
        <f t="shared" si="5"/>
        <v>T2</v>
      </c>
      <c r="M112" s="2" t="str">
        <f t="shared" si="3"/>
        <v>jun</v>
      </c>
      <c r="N112" s="2">
        <v>6</v>
      </c>
    </row>
    <row r="113" spans="2:14" x14ac:dyDescent="0.3">
      <c r="B113" s="2">
        <v>112</v>
      </c>
      <c r="C113" s="4">
        <v>45825</v>
      </c>
      <c r="D113" s="3" t="s">
        <v>13</v>
      </c>
      <c r="E113" s="3" t="s">
        <v>19</v>
      </c>
      <c r="F113" s="3" t="s">
        <v>28</v>
      </c>
      <c r="G113" s="3" t="s">
        <v>34</v>
      </c>
      <c r="H113" s="2">
        <v>25</v>
      </c>
      <c r="I113" s="2">
        <v>5</v>
      </c>
      <c r="J113" s="2">
        <v>2</v>
      </c>
      <c r="K113" s="2" t="str">
        <f t="shared" si="4"/>
        <v>1º Semestre</v>
      </c>
      <c r="L113" s="2" t="str">
        <f t="shared" si="5"/>
        <v>T2</v>
      </c>
      <c r="M113" s="2" t="str">
        <f t="shared" si="3"/>
        <v>jun</v>
      </c>
      <c r="N113" s="2">
        <v>6</v>
      </c>
    </row>
    <row r="114" spans="2:14" x14ac:dyDescent="0.3">
      <c r="B114" s="2">
        <v>113</v>
      </c>
      <c r="C114" s="4">
        <v>45826</v>
      </c>
      <c r="D114" s="3" t="s">
        <v>9</v>
      </c>
      <c r="E114" s="3" t="s">
        <v>15</v>
      </c>
      <c r="F114" s="3" t="s">
        <v>40</v>
      </c>
      <c r="G114" s="3" t="s">
        <v>32</v>
      </c>
      <c r="H114" s="2">
        <v>109</v>
      </c>
      <c r="I114" s="2">
        <v>2</v>
      </c>
      <c r="J114" s="2">
        <v>1</v>
      </c>
      <c r="K114" s="2" t="str">
        <f t="shared" si="4"/>
        <v>1º Semestre</v>
      </c>
      <c r="L114" s="2" t="str">
        <f t="shared" si="5"/>
        <v>T2</v>
      </c>
      <c r="M114" s="2" t="str">
        <f t="shared" si="3"/>
        <v>jun</v>
      </c>
      <c r="N114" s="2">
        <v>6</v>
      </c>
    </row>
    <row r="115" spans="2:14" x14ac:dyDescent="0.3">
      <c r="B115" s="2">
        <v>114</v>
      </c>
      <c r="C115" s="4">
        <v>45828</v>
      </c>
      <c r="D115" s="3" t="s">
        <v>12</v>
      </c>
      <c r="E115" s="3" t="s">
        <v>18</v>
      </c>
      <c r="F115" s="3" t="s">
        <v>31</v>
      </c>
      <c r="G115" s="3" t="s">
        <v>32</v>
      </c>
      <c r="H115" s="2">
        <v>30</v>
      </c>
      <c r="I115" s="2">
        <v>1</v>
      </c>
      <c r="J115" s="2">
        <v>1</v>
      </c>
      <c r="K115" s="2" t="str">
        <f t="shared" si="4"/>
        <v>1º Semestre</v>
      </c>
      <c r="L115" s="2" t="str">
        <f t="shared" si="5"/>
        <v>T2</v>
      </c>
      <c r="M115" s="2" t="str">
        <f t="shared" si="3"/>
        <v>jun</v>
      </c>
      <c r="N115" s="2">
        <v>6</v>
      </c>
    </row>
    <row r="116" spans="2:14" x14ac:dyDescent="0.3">
      <c r="B116" s="2">
        <v>115</v>
      </c>
      <c r="C116" s="4">
        <v>45831</v>
      </c>
      <c r="D116" s="3" t="s">
        <v>10</v>
      </c>
      <c r="E116" s="3" t="s">
        <v>16</v>
      </c>
      <c r="F116" s="3" t="s">
        <v>24</v>
      </c>
      <c r="G116" s="3" t="s">
        <v>33</v>
      </c>
      <c r="H116" s="2">
        <v>80</v>
      </c>
      <c r="I116" s="2">
        <v>5</v>
      </c>
      <c r="J116" s="2">
        <v>1</v>
      </c>
      <c r="K116" s="2" t="str">
        <f t="shared" si="4"/>
        <v>1º Semestre</v>
      </c>
      <c r="L116" s="2" t="str">
        <f t="shared" si="5"/>
        <v>T2</v>
      </c>
      <c r="M116" s="2" t="str">
        <f t="shared" si="3"/>
        <v>jun</v>
      </c>
      <c r="N116" s="2">
        <v>6</v>
      </c>
    </row>
    <row r="117" spans="2:14" x14ac:dyDescent="0.3">
      <c r="B117" s="2">
        <v>116</v>
      </c>
      <c r="C117" s="4">
        <v>45832</v>
      </c>
      <c r="D117" s="3" t="s">
        <v>9</v>
      </c>
      <c r="E117" s="3" t="s">
        <v>14</v>
      </c>
      <c r="F117" s="3" t="s">
        <v>22</v>
      </c>
      <c r="G117" s="3" t="s">
        <v>32</v>
      </c>
      <c r="H117" s="2">
        <v>109</v>
      </c>
      <c r="I117" s="2">
        <v>2</v>
      </c>
      <c r="J117" s="2">
        <v>1</v>
      </c>
      <c r="K117" s="2" t="str">
        <f t="shared" si="4"/>
        <v>1º Semestre</v>
      </c>
      <c r="L117" s="2" t="str">
        <f t="shared" si="5"/>
        <v>T2</v>
      </c>
      <c r="M117" s="2" t="str">
        <f t="shared" si="3"/>
        <v>jun</v>
      </c>
      <c r="N117" s="2">
        <v>6</v>
      </c>
    </row>
    <row r="118" spans="2:14" x14ac:dyDescent="0.3">
      <c r="B118" s="2">
        <v>117</v>
      </c>
      <c r="C118" s="4">
        <v>45833</v>
      </c>
      <c r="D118" s="3" t="s">
        <v>11</v>
      </c>
      <c r="E118" s="3" t="s">
        <v>17</v>
      </c>
      <c r="F118" s="3" t="s">
        <v>25</v>
      </c>
      <c r="G118" s="3" t="s">
        <v>33</v>
      </c>
      <c r="H118" s="2">
        <v>50</v>
      </c>
      <c r="I118" s="2">
        <v>4</v>
      </c>
      <c r="J118" s="2">
        <v>2</v>
      </c>
      <c r="K118" s="2" t="str">
        <f t="shared" si="4"/>
        <v>1º Semestre</v>
      </c>
      <c r="L118" s="2" t="str">
        <f t="shared" si="5"/>
        <v>T2</v>
      </c>
      <c r="M118" s="2" t="str">
        <f t="shared" si="3"/>
        <v>jun</v>
      </c>
      <c r="N118" s="2">
        <v>6</v>
      </c>
    </row>
    <row r="119" spans="2:14" x14ac:dyDescent="0.3">
      <c r="B119" s="2">
        <v>118</v>
      </c>
      <c r="C119" s="4">
        <v>45834</v>
      </c>
      <c r="D119" s="3" t="s">
        <v>9</v>
      </c>
      <c r="E119" s="3" t="s">
        <v>20</v>
      </c>
      <c r="F119" s="3" t="s">
        <v>29</v>
      </c>
      <c r="G119" s="3" t="s">
        <v>35</v>
      </c>
      <c r="H119" s="2">
        <v>109</v>
      </c>
      <c r="I119" s="2">
        <v>1</v>
      </c>
      <c r="J119" s="2">
        <v>1</v>
      </c>
      <c r="K119" s="2" t="str">
        <f t="shared" si="4"/>
        <v>1º Semestre</v>
      </c>
      <c r="L119" s="2" t="str">
        <f t="shared" si="5"/>
        <v>T2</v>
      </c>
      <c r="M119" s="2" t="str">
        <f t="shared" si="3"/>
        <v>jun</v>
      </c>
      <c r="N119" s="2">
        <v>6</v>
      </c>
    </row>
    <row r="120" spans="2:14" x14ac:dyDescent="0.3">
      <c r="B120" s="2">
        <v>119</v>
      </c>
      <c r="C120" s="4">
        <v>45835</v>
      </c>
      <c r="D120" s="3" t="s">
        <v>12</v>
      </c>
      <c r="E120" s="3" t="s">
        <v>14</v>
      </c>
      <c r="F120" s="3" t="s">
        <v>27</v>
      </c>
      <c r="G120" s="3" t="s">
        <v>32</v>
      </c>
      <c r="H120" s="2">
        <v>30</v>
      </c>
      <c r="I120" s="2">
        <v>2</v>
      </c>
      <c r="J120" s="2">
        <v>1</v>
      </c>
      <c r="K120" s="2" t="str">
        <f t="shared" si="4"/>
        <v>1º Semestre</v>
      </c>
      <c r="L120" s="2" t="str">
        <f t="shared" si="5"/>
        <v>T2</v>
      </c>
      <c r="M120" s="2" t="str">
        <f t="shared" si="3"/>
        <v>jun</v>
      </c>
      <c r="N120" s="2">
        <v>6</v>
      </c>
    </row>
    <row r="121" spans="2:14" x14ac:dyDescent="0.3">
      <c r="B121" s="2">
        <v>120</v>
      </c>
      <c r="C121" s="4">
        <v>45838</v>
      </c>
      <c r="D121" s="3" t="s">
        <v>11</v>
      </c>
      <c r="E121" s="3" t="s">
        <v>16</v>
      </c>
      <c r="F121" s="3" t="s">
        <v>36</v>
      </c>
      <c r="G121" s="3" t="s">
        <v>34</v>
      </c>
      <c r="H121" s="2">
        <v>50</v>
      </c>
      <c r="I121" s="2">
        <v>5</v>
      </c>
      <c r="J121" s="2">
        <v>1</v>
      </c>
      <c r="K121" s="2" t="str">
        <f t="shared" si="4"/>
        <v>1º Semestre</v>
      </c>
      <c r="L121" s="2" t="str">
        <f t="shared" si="5"/>
        <v>T2</v>
      </c>
      <c r="M121" s="2" t="str">
        <f t="shared" si="3"/>
        <v>jun</v>
      </c>
      <c r="N121" s="2">
        <v>6</v>
      </c>
    </row>
    <row r="122" spans="2:14" x14ac:dyDescent="0.3">
      <c r="B122" s="2">
        <v>121</v>
      </c>
      <c r="C122" s="4">
        <v>45840</v>
      </c>
      <c r="D122" s="3" t="s">
        <v>9</v>
      </c>
      <c r="E122" s="3" t="s">
        <v>14</v>
      </c>
      <c r="F122" s="3" t="s">
        <v>22</v>
      </c>
      <c r="G122" s="3" t="s">
        <v>32</v>
      </c>
      <c r="H122" s="2">
        <v>109</v>
      </c>
      <c r="I122" s="2">
        <v>2</v>
      </c>
      <c r="J122" s="2">
        <v>1</v>
      </c>
      <c r="K122" s="2" t="str">
        <f t="shared" si="4"/>
        <v>2º Semestre</v>
      </c>
      <c r="L122" s="2" t="str">
        <f t="shared" si="5"/>
        <v>T3</v>
      </c>
      <c r="M122" s="2" t="str">
        <f t="shared" si="3"/>
        <v>jul</v>
      </c>
      <c r="N122" s="2">
        <v>7</v>
      </c>
    </row>
    <row r="123" spans="2:14" x14ac:dyDescent="0.3">
      <c r="B123" s="2">
        <v>122</v>
      </c>
      <c r="C123" s="4">
        <v>45841</v>
      </c>
      <c r="D123" s="3" t="s">
        <v>10</v>
      </c>
      <c r="E123" s="3" t="s">
        <v>16</v>
      </c>
      <c r="F123" s="3" t="s">
        <v>24</v>
      </c>
      <c r="G123" s="3" t="s">
        <v>33</v>
      </c>
      <c r="H123" s="2">
        <v>80</v>
      </c>
      <c r="I123" s="2">
        <v>5</v>
      </c>
      <c r="J123" s="2">
        <v>1</v>
      </c>
      <c r="K123" s="2" t="str">
        <f t="shared" si="4"/>
        <v>2º Semestre</v>
      </c>
      <c r="L123" s="2" t="str">
        <f t="shared" si="5"/>
        <v>T3</v>
      </c>
      <c r="M123" s="2" t="str">
        <f t="shared" si="3"/>
        <v>jul</v>
      </c>
      <c r="N123" s="2">
        <v>7</v>
      </c>
    </row>
    <row r="124" spans="2:14" x14ac:dyDescent="0.3">
      <c r="B124" s="2">
        <v>123</v>
      </c>
      <c r="C124" s="4">
        <v>45842</v>
      </c>
      <c r="D124" s="3" t="s">
        <v>11</v>
      </c>
      <c r="E124" s="3" t="s">
        <v>17</v>
      </c>
      <c r="F124" s="3" t="s">
        <v>25</v>
      </c>
      <c r="G124" s="3" t="s">
        <v>33</v>
      </c>
      <c r="H124" s="2">
        <v>40</v>
      </c>
      <c r="I124" s="2">
        <v>4</v>
      </c>
      <c r="J124" s="2">
        <v>2</v>
      </c>
      <c r="K124" s="2" t="str">
        <f t="shared" si="4"/>
        <v>2º Semestre</v>
      </c>
      <c r="L124" s="2" t="str">
        <f t="shared" si="5"/>
        <v>T3</v>
      </c>
      <c r="M124" s="2" t="str">
        <f t="shared" si="3"/>
        <v>jul</v>
      </c>
      <c r="N124" s="2">
        <v>7</v>
      </c>
    </row>
    <row r="125" spans="2:14" x14ac:dyDescent="0.3">
      <c r="B125" s="2">
        <v>124</v>
      </c>
      <c r="C125" s="4">
        <v>45845</v>
      </c>
      <c r="D125" s="3" t="s">
        <v>12</v>
      </c>
      <c r="E125" s="3" t="s">
        <v>18</v>
      </c>
      <c r="F125" s="3" t="s">
        <v>26</v>
      </c>
      <c r="G125" s="3" t="s">
        <v>32</v>
      </c>
      <c r="H125" s="2">
        <v>15</v>
      </c>
      <c r="I125" s="2">
        <v>1</v>
      </c>
      <c r="J125" s="2">
        <v>1</v>
      </c>
      <c r="K125" s="2" t="str">
        <f t="shared" si="4"/>
        <v>2º Semestre</v>
      </c>
      <c r="L125" s="2" t="str">
        <f t="shared" si="5"/>
        <v>T3</v>
      </c>
      <c r="M125" s="2" t="str">
        <f t="shared" si="3"/>
        <v>jul</v>
      </c>
      <c r="N125" s="2">
        <v>7</v>
      </c>
    </row>
    <row r="126" spans="2:14" x14ac:dyDescent="0.3">
      <c r="B126" s="2">
        <v>125</v>
      </c>
      <c r="C126" s="4">
        <v>45846</v>
      </c>
      <c r="D126" s="3" t="s">
        <v>13</v>
      </c>
      <c r="E126" s="3" t="s">
        <v>19</v>
      </c>
      <c r="F126" s="3" t="s">
        <v>28</v>
      </c>
      <c r="G126" s="3" t="s">
        <v>34</v>
      </c>
      <c r="H126" s="2">
        <v>20</v>
      </c>
      <c r="I126" s="2">
        <v>7</v>
      </c>
      <c r="J126" s="2">
        <v>3</v>
      </c>
      <c r="K126" s="2" t="str">
        <f t="shared" si="4"/>
        <v>2º Semestre</v>
      </c>
      <c r="L126" s="2" t="str">
        <f t="shared" si="5"/>
        <v>T3</v>
      </c>
      <c r="M126" s="2" t="str">
        <f t="shared" si="3"/>
        <v>jul</v>
      </c>
      <c r="N126" s="2">
        <v>7</v>
      </c>
    </row>
    <row r="127" spans="2:14" x14ac:dyDescent="0.3">
      <c r="B127" s="2">
        <v>126</v>
      </c>
      <c r="C127" s="4">
        <v>45847</v>
      </c>
      <c r="D127" s="3" t="s">
        <v>9</v>
      </c>
      <c r="E127" s="3" t="s">
        <v>15</v>
      </c>
      <c r="F127" s="3" t="s">
        <v>23</v>
      </c>
      <c r="G127" s="3" t="s">
        <v>32</v>
      </c>
      <c r="H127" s="2">
        <v>110</v>
      </c>
      <c r="I127" s="2">
        <v>2</v>
      </c>
      <c r="J127" s="2">
        <v>1</v>
      </c>
      <c r="K127" s="2" t="str">
        <f t="shared" si="4"/>
        <v>2º Semestre</v>
      </c>
      <c r="L127" s="2" t="str">
        <f t="shared" si="5"/>
        <v>T3</v>
      </c>
      <c r="M127" s="2" t="str">
        <f t="shared" si="3"/>
        <v>jul</v>
      </c>
      <c r="N127" s="2">
        <v>7</v>
      </c>
    </row>
    <row r="128" spans="2:14" x14ac:dyDescent="0.3">
      <c r="B128" s="2">
        <v>127</v>
      </c>
      <c r="C128" s="4">
        <v>45848</v>
      </c>
      <c r="D128" s="3" t="s">
        <v>9</v>
      </c>
      <c r="E128" s="3" t="s">
        <v>21</v>
      </c>
      <c r="F128" s="3" t="s">
        <v>30</v>
      </c>
      <c r="G128" s="3" t="s">
        <v>33</v>
      </c>
      <c r="H128" s="2">
        <v>100</v>
      </c>
      <c r="I128" s="2">
        <v>2</v>
      </c>
      <c r="J128" s="2">
        <v>1</v>
      </c>
      <c r="K128" s="2" t="str">
        <f t="shared" si="4"/>
        <v>2º Semestre</v>
      </c>
      <c r="L128" s="2" t="str">
        <f t="shared" si="5"/>
        <v>T3</v>
      </c>
      <c r="M128" s="2" t="str">
        <f t="shared" si="3"/>
        <v>jul</v>
      </c>
      <c r="N128" s="2">
        <v>7</v>
      </c>
    </row>
    <row r="129" spans="2:14" x14ac:dyDescent="0.3">
      <c r="B129" s="2">
        <v>128</v>
      </c>
      <c r="C129" s="4">
        <v>45849</v>
      </c>
      <c r="D129" s="3" t="s">
        <v>12</v>
      </c>
      <c r="E129" s="3" t="s">
        <v>14</v>
      </c>
      <c r="F129" s="3" t="s">
        <v>27</v>
      </c>
      <c r="G129" s="3" t="s">
        <v>32</v>
      </c>
      <c r="H129" s="2">
        <v>15</v>
      </c>
      <c r="I129" s="2">
        <v>2</v>
      </c>
      <c r="J129" s="2">
        <v>1</v>
      </c>
      <c r="K129" s="2" t="str">
        <f t="shared" si="4"/>
        <v>2º Semestre</v>
      </c>
      <c r="L129" s="2" t="str">
        <f t="shared" si="5"/>
        <v>T3</v>
      </c>
      <c r="M129" s="2" t="str">
        <f t="shared" si="3"/>
        <v>jul</v>
      </c>
      <c r="N129" s="2">
        <v>7</v>
      </c>
    </row>
    <row r="130" spans="2:14" x14ac:dyDescent="0.3">
      <c r="B130" s="2">
        <v>129</v>
      </c>
      <c r="C130" s="4">
        <v>45852</v>
      </c>
      <c r="D130" s="3" t="s">
        <v>11</v>
      </c>
      <c r="E130" s="3" t="s">
        <v>16</v>
      </c>
      <c r="F130" s="3" t="s">
        <v>36</v>
      </c>
      <c r="G130" s="3" t="s">
        <v>34</v>
      </c>
      <c r="H130" s="2">
        <v>40</v>
      </c>
      <c r="I130" s="2">
        <v>5</v>
      </c>
      <c r="J130" s="2">
        <v>1</v>
      </c>
      <c r="K130" s="2" t="str">
        <f t="shared" si="4"/>
        <v>2º Semestre</v>
      </c>
      <c r="L130" s="2" t="str">
        <f t="shared" si="5"/>
        <v>T3</v>
      </c>
      <c r="M130" s="2" t="str">
        <f t="shared" ref="M130:M193" si="6">TEXT(C130,"MMM")</f>
        <v>jul</v>
      </c>
      <c r="N130" s="2">
        <v>7</v>
      </c>
    </row>
    <row r="131" spans="2:14" x14ac:dyDescent="0.3">
      <c r="B131" s="2">
        <v>130</v>
      </c>
      <c r="C131" s="4">
        <v>45853</v>
      </c>
      <c r="D131" s="3" t="s">
        <v>9</v>
      </c>
      <c r="E131" s="3" t="s">
        <v>37</v>
      </c>
      <c r="F131" s="3" t="s">
        <v>38</v>
      </c>
      <c r="G131" s="3" t="s">
        <v>33</v>
      </c>
      <c r="H131" s="2">
        <v>110</v>
      </c>
      <c r="I131" s="2">
        <v>3</v>
      </c>
      <c r="J131" s="2">
        <v>2</v>
      </c>
      <c r="K131" s="2" t="str">
        <f t="shared" ref="K131:K194" si="7">IF(MONTH(M131 &amp; " 1")&lt;=6, "1º Semestre", "2º Semestre")</f>
        <v>2º Semestre</v>
      </c>
      <c r="L131" s="2" t="str">
        <f t="shared" ref="L131:L194" si="8">"T"&amp;ROUNDUP(VALUE(N131)/3,0)</f>
        <v>T3</v>
      </c>
      <c r="M131" s="2" t="str">
        <f t="shared" si="6"/>
        <v>jul</v>
      </c>
      <c r="N131" s="2">
        <v>7</v>
      </c>
    </row>
    <row r="132" spans="2:14" x14ac:dyDescent="0.3">
      <c r="B132" s="2">
        <v>131</v>
      </c>
      <c r="C132" s="4">
        <v>45854</v>
      </c>
      <c r="D132" s="3" t="s">
        <v>10</v>
      </c>
      <c r="E132" s="3" t="s">
        <v>17</v>
      </c>
      <c r="F132" s="3" t="s">
        <v>39</v>
      </c>
      <c r="G132" s="3" t="s">
        <v>33</v>
      </c>
      <c r="H132" s="2">
        <v>90</v>
      </c>
      <c r="I132" s="2">
        <v>3</v>
      </c>
      <c r="J132" s="2">
        <v>2</v>
      </c>
      <c r="K132" s="2" t="str">
        <f t="shared" si="7"/>
        <v>2º Semestre</v>
      </c>
      <c r="L132" s="2" t="str">
        <f t="shared" si="8"/>
        <v>T3</v>
      </c>
      <c r="M132" s="2" t="str">
        <f t="shared" si="6"/>
        <v>jul</v>
      </c>
      <c r="N132" s="2">
        <v>7</v>
      </c>
    </row>
    <row r="133" spans="2:14" x14ac:dyDescent="0.3">
      <c r="B133" s="2">
        <v>132</v>
      </c>
      <c r="C133" s="4">
        <v>45855</v>
      </c>
      <c r="D133" s="3" t="s">
        <v>13</v>
      </c>
      <c r="E133" s="3" t="s">
        <v>15</v>
      </c>
      <c r="F133" s="3" t="s">
        <v>40</v>
      </c>
      <c r="G133" s="3" t="s">
        <v>32</v>
      </c>
      <c r="H133" s="2">
        <v>20</v>
      </c>
      <c r="I133" s="2">
        <v>5</v>
      </c>
      <c r="J133" s="2">
        <v>2</v>
      </c>
      <c r="K133" s="2" t="str">
        <f t="shared" si="7"/>
        <v>2º Semestre</v>
      </c>
      <c r="L133" s="2" t="str">
        <f t="shared" si="8"/>
        <v>T3</v>
      </c>
      <c r="M133" s="2" t="str">
        <f t="shared" si="6"/>
        <v>jul</v>
      </c>
      <c r="N133" s="2">
        <v>7</v>
      </c>
    </row>
    <row r="134" spans="2:14" x14ac:dyDescent="0.3">
      <c r="B134" s="2">
        <v>133</v>
      </c>
      <c r="C134" s="4">
        <v>45859</v>
      </c>
      <c r="D134" s="3" t="s">
        <v>9</v>
      </c>
      <c r="E134" s="3" t="s">
        <v>14</v>
      </c>
      <c r="F134" s="3" t="s">
        <v>22</v>
      </c>
      <c r="G134" s="3" t="s">
        <v>32</v>
      </c>
      <c r="H134" s="2">
        <v>110</v>
      </c>
      <c r="I134" s="2">
        <v>2</v>
      </c>
      <c r="J134" s="2">
        <v>1</v>
      </c>
      <c r="K134" s="2" t="str">
        <f t="shared" si="7"/>
        <v>2º Semestre</v>
      </c>
      <c r="L134" s="2" t="str">
        <f t="shared" si="8"/>
        <v>T3</v>
      </c>
      <c r="M134" s="2" t="str">
        <f t="shared" si="6"/>
        <v>jul</v>
      </c>
      <c r="N134" s="2">
        <v>7</v>
      </c>
    </row>
    <row r="135" spans="2:14" x14ac:dyDescent="0.3">
      <c r="B135" s="2">
        <v>134</v>
      </c>
      <c r="C135" s="4">
        <v>45860</v>
      </c>
      <c r="D135" s="3" t="s">
        <v>12</v>
      </c>
      <c r="E135" s="3" t="s">
        <v>18</v>
      </c>
      <c r="F135" s="3" t="s">
        <v>31</v>
      </c>
      <c r="G135" s="3" t="s">
        <v>32</v>
      </c>
      <c r="H135" s="2">
        <v>15</v>
      </c>
      <c r="I135" s="2">
        <v>1</v>
      </c>
      <c r="J135" s="2">
        <v>1</v>
      </c>
      <c r="K135" s="2" t="str">
        <f t="shared" si="7"/>
        <v>2º Semestre</v>
      </c>
      <c r="L135" s="2" t="str">
        <f t="shared" si="8"/>
        <v>T3</v>
      </c>
      <c r="M135" s="2" t="str">
        <f t="shared" si="6"/>
        <v>jul</v>
      </c>
      <c r="N135" s="2">
        <v>7</v>
      </c>
    </row>
    <row r="136" spans="2:14" x14ac:dyDescent="0.3">
      <c r="B136" s="2">
        <v>135</v>
      </c>
      <c r="C136" s="4">
        <v>45861</v>
      </c>
      <c r="D136" s="3" t="s">
        <v>10</v>
      </c>
      <c r="E136" s="3" t="s">
        <v>16</v>
      </c>
      <c r="F136" s="3" t="s">
        <v>24</v>
      </c>
      <c r="G136" s="3" t="s">
        <v>33</v>
      </c>
      <c r="H136" s="2">
        <v>80</v>
      </c>
      <c r="I136" s="2">
        <v>5</v>
      </c>
      <c r="J136" s="2">
        <v>1</v>
      </c>
      <c r="K136" s="2" t="str">
        <f t="shared" si="7"/>
        <v>2º Semestre</v>
      </c>
      <c r="L136" s="2" t="str">
        <f t="shared" si="8"/>
        <v>T3</v>
      </c>
      <c r="M136" s="2" t="str">
        <f t="shared" si="6"/>
        <v>jul</v>
      </c>
      <c r="N136" s="2">
        <v>7</v>
      </c>
    </row>
    <row r="137" spans="2:14" x14ac:dyDescent="0.3">
      <c r="B137" s="2">
        <v>136</v>
      </c>
      <c r="C137" s="4">
        <v>45862</v>
      </c>
      <c r="D137" s="3" t="s">
        <v>13</v>
      </c>
      <c r="E137" s="3" t="s">
        <v>19</v>
      </c>
      <c r="F137" s="3" t="s">
        <v>28</v>
      </c>
      <c r="G137" s="3" t="s">
        <v>34</v>
      </c>
      <c r="H137" s="2">
        <v>20</v>
      </c>
      <c r="I137" s="2">
        <v>8</v>
      </c>
      <c r="J137" s="2">
        <v>0</v>
      </c>
      <c r="K137" s="2" t="str">
        <f t="shared" si="7"/>
        <v>2º Semestre</v>
      </c>
      <c r="L137" s="2" t="str">
        <f t="shared" si="8"/>
        <v>T3</v>
      </c>
      <c r="M137" s="2" t="str">
        <f t="shared" si="6"/>
        <v>jul</v>
      </c>
      <c r="N137" s="2">
        <v>7</v>
      </c>
    </row>
    <row r="138" spans="2:14" x14ac:dyDescent="0.3">
      <c r="B138" s="2">
        <v>137</v>
      </c>
      <c r="C138" s="4">
        <v>45863</v>
      </c>
      <c r="D138" s="3" t="s">
        <v>9</v>
      </c>
      <c r="E138" s="3" t="s">
        <v>20</v>
      </c>
      <c r="F138" s="3" t="s">
        <v>29</v>
      </c>
      <c r="G138" s="3" t="s">
        <v>35</v>
      </c>
      <c r="H138" s="2">
        <v>109</v>
      </c>
      <c r="I138" s="2">
        <v>1</v>
      </c>
      <c r="J138" s="2">
        <v>1</v>
      </c>
      <c r="K138" s="2" t="str">
        <f t="shared" si="7"/>
        <v>2º Semestre</v>
      </c>
      <c r="L138" s="2" t="str">
        <f t="shared" si="8"/>
        <v>T3</v>
      </c>
      <c r="M138" s="2" t="str">
        <f t="shared" si="6"/>
        <v>jul</v>
      </c>
      <c r="N138" s="2">
        <v>7</v>
      </c>
    </row>
    <row r="139" spans="2:14" x14ac:dyDescent="0.3">
      <c r="B139" s="2">
        <v>138</v>
      </c>
      <c r="C139" s="4">
        <v>45866</v>
      </c>
      <c r="D139" s="3" t="s">
        <v>11</v>
      </c>
      <c r="E139" s="3" t="s">
        <v>17</v>
      </c>
      <c r="F139" s="3" t="s">
        <v>25</v>
      </c>
      <c r="G139" s="3" t="s">
        <v>33</v>
      </c>
      <c r="H139" s="2">
        <v>40</v>
      </c>
      <c r="I139" s="2">
        <v>4</v>
      </c>
      <c r="J139" s="2">
        <v>2</v>
      </c>
      <c r="K139" s="2" t="str">
        <f t="shared" si="7"/>
        <v>2º Semestre</v>
      </c>
      <c r="L139" s="2" t="str">
        <f t="shared" si="8"/>
        <v>T3</v>
      </c>
      <c r="M139" s="2" t="str">
        <f t="shared" si="6"/>
        <v>jul</v>
      </c>
      <c r="N139" s="2">
        <v>7</v>
      </c>
    </row>
    <row r="140" spans="2:14" x14ac:dyDescent="0.3">
      <c r="B140" s="2">
        <v>139</v>
      </c>
      <c r="C140" s="4">
        <v>45867</v>
      </c>
      <c r="D140" s="3" t="s">
        <v>9</v>
      </c>
      <c r="E140" s="3" t="s">
        <v>15</v>
      </c>
      <c r="F140" s="3" t="s">
        <v>23</v>
      </c>
      <c r="G140" s="3" t="s">
        <v>32</v>
      </c>
      <c r="H140" s="2">
        <v>109</v>
      </c>
      <c r="I140" s="2">
        <v>2</v>
      </c>
      <c r="J140" s="2">
        <v>1</v>
      </c>
      <c r="K140" s="2" t="str">
        <f t="shared" si="7"/>
        <v>2º Semestre</v>
      </c>
      <c r="L140" s="2" t="str">
        <f t="shared" si="8"/>
        <v>T3</v>
      </c>
      <c r="M140" s="2" t="str">
        <f t="shared" si="6"/>
        <v>jul</v>
      </c>
      <c r="N140" s="2">
        <v>7</v>
      </c>
    </row>
    <row r="141" spans="2:14" x14ac:dyDescent="0.3">
      <c r="B141" s="2">
        <v>140</v>
      </c>
      <c r="C141" s="4">
        <v>45868</v>
      </c>
      <c r="D141" s="3" t="s">
        <v>12</v>
      </c>
      <c r="E141" s="3" t="s">
        <v>14</v>
      </c>
      <c r="F141" s="3" t="s">
        <v>27</v>
      </c>
      <c r="G141" s="3" t="s">
        <v>32</v>
      </c>
      <c r="H141" s="2">
        <v>15</v>
      </c>
      <c r="I141" s="2">
        <v>2</v>
      </c>
      <c r="J141" s="2">
        <v>1</v>
      </c>
      <c r="K141" s="2" t="str">
        <f t="shared" si="7"/>
        <v>2º Semestre</v>
      </c>
      <c r="L141" s="2" t="str">
        <f t="shared" si="8"/>
        <v>T3</v>
      </c>
      <c r="M141" s="2" t="str">
        <f t="shared" si="6"/>
        <v>jul</v>
      </c>
      <c r="N141" s="2">
        <v>7</v>
      </c>
    </row>
    <row r="142" spans="2:14" x14ac:dyDescent="0.3">
      <c r="B142" s="2">
        <v>141</v>
      </c>
      <c r="C142" s="4">
        <v>45870</v>
      </c>
      <c r="D142" s="3" t="s">
        <v>13</v>
      </c>
      <c r="E142" s="3" t="s">
        <v>19</v>
      </c>
      <c r="F142" s="3" t="s">
        <v>28</v>
      </c>
      <c r="G142" s="3" t="s">
        <v>34</v>
      </c>
      <c r="H142" s="2">
        <v>20</v>
      </c>
      <c r="I142" s="2">
        <v>9</v>
      </c>
      <c r="J142" s="2">
        <v>2</v>
      </c>
      <c r="K142" s="2" t="str">
        <f t="shared" si="7"/>
        <v>2º Semestre</v>
      </c>
      <c r="L142" s="2" t="str">
        <f t="shared" si="8"/>
        <v>T3</v>
      </c>
      <c r="M142" s="2" t="str">
        <f t="shared" si="6"/>
        <v>ago</v>
      </c>
      <c r="N142" s="2">
        <v>8</v>
      </c>
    </row>
    <row r="143" spans="2:14" x14ac:dyDescent="0.3">
      <c r="B143" s="2">
        <v>142</v>
      </c>
      <c r="C143" s="4">
        <v>45873</v>
      </c>
      <c r="D143" s="3" t="s">
        <v>9</v>
      </c>
      <c r="E143" s="3" t="s">
        <v>14</v>
      </c>
      <c r="F143" s="3" t="s">
        <v>22</v>
      </c>
      <c r="G143" s="3" t="s">
        <v>32</v>
      </c>
      <c r="H143" s="2">
        <v>100</v>
      </c>
      <c r="I143" s="2">
        <v>2</v>
      </c>
      <c r="J143" s="2">
        <v>1</v>
      </c>
      <c r="K143" s="2" t="str">
        <f t="shared" si="7"/>
        <v>2º Semestre</v>
      </c>
      <c r="L143" s="2" t="str">
        <f t="shared" si="8"/>
        <v>T3</v>
      </c>
      <c r="M143" s="2" t="str">
        <f t="shared" si="6"/>
        <v>ago</v>
      </c>
      <c r="N143" s="2">
        <v>8</v>
      </c>
    </row>
    <row r="144" spans="2:14" x14ac:dyDescent="0.3">
      <c r="B144" s="2">
        <v>143</v>
      </c>
      <c r="C144" s="4">
        <v>45874</v>
      </c>
      <c r="D144" s="3" t="s">
        <v>10</v>
      </c>
      <c r="E144" s="3" t="s">
        <v>16</v>
      </c>
      <c r="F144" s="3" t="s">
        <v>24</v>
      </c>
      <c r="G144" s="3" t="s">
        <v>33</v>
      </c>
      <c r="H144" s="2">
        <v>80</v>
      </c>
      <c r="I144" s="2">
        <v>4</v>
      </c>
      <c r="J144" s="2">
        <v>1</v>
      </c>
      <c r="K144" s="2" t="str">
        <f t="shared" si="7"/>
        <v>2º Semestre</v>
      </c>
      <c r="L144" s="2" t="str">
        <f t="shared" si="8"/>
        <v>T3</v>
      </c>
      <c r="M144" s="2" t="str">
        <f t="shared" si="6"/>
        <v>ago</v>
      </c>
      <c r="N144" s="2">
        <v>8</v>
      </c>
    </row>
    <row r="145" spans="2:14" x14ac:dyDescent="0.3">
      <c r="B145" s="2">
        <v>144</v>
      </c>
      <c r="C145" s="4">
        <v>45875</v>
      </c>
      <c r="D145" s="3" t="s">
        <v>11</v>
      </c>
      <c r="E145" s="3" t="s">
        <v>17</v>
      </c>
      <c r="F145" s="3" t="s">
        <v>25</v>
      </c>
      <c r="G145" s="3" t="s">
        <v>33</v>
      </c>
      <c r="H145" s="2">
        <v>42</v>
      </c>
      <c r="I145" s="2">
        <v>4</v>
      </c>
      <c r="J145" s="2">
        <v>2</v>
      </c>
      <c r="K145" s="2" t="str">
        <f t="shared" si="7"/>
        <v>2º Semestre</v>
      </c>
      <c r="L145" s="2" t="str">
        <f t="shared" si="8"/>
        <v>T3</v>
      </c>
      <c r="M145" s="2" t="str">
        <f t="shared" si="6"/>
        <v>ago</v>
      </c>
      <c r="N145" s="2">
        <v>8</v>
      </c>
    </row>
    <row r="146" spans="2:14" x14ac:dyDescent="0.3">
      <c r="B146" s="2">
        <v>145</v>
      </c>
      <c r="C146" s="4">
        <v>45876</v>
      </c>
      <c r="D146" s="3" t="s">
        <v>13</v>
      </c>
      <c r="E146" s="3" t="s">
        <v>15</v>
      </c>
      <c r="F146" s="3" t="s">
        <v>40</v>
      </c>
      <c r="G146" s="3" t="s">
        <v>32</v>
      </c>
      <c r="H146" s="2">
        <v>20</v>
      </c>
      <c r="I146" s="2">
        <v>6</v>
      </c>
      <c r="J146" s="2">
        <v>3</v>
      </c>
      <c r="K146" s="2" t="str">
        <f t="shared" si="7"/>
        <v>2º Semestre</v>
      </c>
      <c r="L146" s="2" t="str">
        <f t="shared" si="8"/>
        <v>T3</v>
      </c>
      <c r="M146" s="2" t="str">
        <f t="shared" si="6"/>
        <v>ago</v>
      </c>
      <c r="N146" s="2">
        <v>8</v>
      </c>
    </row>
    <row r="147" spans="2:14" x14ac:dyDescent="0.3">
      <c r="B147" s="2">
        <v>146</v>
      </c>
      <c r="C147" s="4">
        <v>45877</v>
      </c>
      <c r="D147" s="3" t="s">
        <v>9</v>
      </c>
      <c r="E147" s="3" t="s">
        <v>21</v>
      </c>
      <c r="F147" s="3" t="s">
        <v>30</v>
      </c>
      <c r="G147" s="3" t="s">
        <v>33</v>
      </c>
      <c r="H147" s="2">
        <v>100</v>
      </c>
      <c r="I147" s="2">
        <v>2</v>
      </c>
      <c r="J147" s="2">
        <v>1</v>
      </c>
      <c r="K147" s="2" t="str">
        <f t="shared" si="7"/>
        <v>2º Semestre</v>
      </c>
      <c r="L147" s="2" t="str">
        <f t="shared" si="8"/>
        <v>T3</v>
      </c>
      <c r="M147" s="2" t="str">
        <f t="shared" si="6"/>
        <v>ago</v>
      </c>
      <c r="N147" s="2">
        <v>8</v>
      </c>
    </row>
    <row r="148" spans="2:14" x14ac:dyDescent="0.3">
      <c r="B148" s="2">
        <v>147</v>
      </c>
      <c r="C148" s="4">
        <v>45880</v>
      </c>
      <c r="D148" s="3" t="s">
        <v>12</v>
      </c>
      <c r="E148" s="3" t="s">
        <v>18</v>
      </c>
      <c r="F148" s="3" t="s">
        <v>26</v>
      </c>
      <c r="G148" s="3" t="s">
        <v>32</v>
      </c>
      <c r="H148" s="2">
        <v>20</v>
      </c>
      <c r="I148" s="2">
        <v>1</v>
      </c>
      <c r="J148" s="2">
        <v>1</v>
      </c>
      <c r="K148" s="2" t="str">
        <f t="shared" si="7"/>
        <v>2º Semestre</v>
      </c>
      <c r="L148" s="2" t="str">
        <f t="shared" si="8"/>
        <v>T3</v>
      </c>
      <c r="M148" s="2" t="str">
        <f t="shared" si="6"/>
        <v>ago</v>
      </c>
      <c r="N148" s="2">
        <v>8</v>
      </c>
    </row>
    <row r="149" spans="2:14" x14ac:dyDescent="0.3">
      <c r="B149" s="2">
        <v>148</v>
      </c>
      <c r="C149" s="4">
        <v>45881</v>
      </c>
      <c r="D149" s="3" t="s">
        <v>13</v>
      </c>
      <c r="E149" s="3" t="s">
        <v>19</v>
      </c>
      <c r="F149" s="3" t="s">
        <v>28</v>
      </c>
      <c r="G149" s="3" t="s">
        <v>34</v>
      </c>
      <c r="H149" s="2">
        <v>20</v>
      </c>
      <c r="I149" s="2">
        <v>10</v>
      </c>
      <c r="J149" s="2">
        <v>7</v>
      </c>
      <c r="K149" s="2" t="str">
        <f t="shared" si="7"/>
        <v>2º Semestre</v>
      </c>
      <c r="L149" s="2" t="str">
        <f t="shared" si="8"/>
        <v>T3</v>
      </c>
      <c r="M149" s="2" t="str">
        <f t="shared" si="6"/>
        <v>ago</v>
      </c>
      <c r="N149" s="2">
        <v>8</v>
      </c>
    </row>
    <row r="150" spans="2:14" x14ac:dyDescent="0.3">
      <c r="B150" s="2">
        <v>149</v>
      </c>
      <c r="C150" s="4">
        <v>45882</v>
      </c>
      <c r="D150" s="3" t="s">
        <v>9</v>
      </c>
      <c r="E150" s="3" t="s">
        <v>37</v>
      </c>
      <c r="F150" s="3" t="s">
        <v>38</v>
      </c>
      <c r="G150" s="3" t="s">
        <v>33</v>
      </c>
      <c r="H150" s="2">
        <v>100</v>
      </c>
      <c r="I150" s="2">
        <v>3</v>
      </c>
      <c r="J150" s="2">
        <v>2</v>
      </c>
      <c r="K150" s="2" t="str">
        <f t="shared" si="7"/>
        <v>2º Semestre</v>
      </c>
      <c r="L150" s="2" t="str">
        <f t="shared" si="8"/>
        <v>T3</v>
      </c>
      <c r="M150" s="2" t="str">
        <f t="shared" si="6"/>
        <v>ago</v>
      </c>
      <c r="N150" s="2">
        <v>8</v>
      </c>
    </row>
    <row r="151" spans="2:14" x14ac:dyDescent="0.3">
      <c r="B151" s="2">
        <v>150</v>
      </c>
      <c r="C151" s="4">
        <v>45883</v>
      </c>
      <c r="D151" s="3" t="s">
        <v>10</v>
      </c>
      <c r="E151" s="3" t="s">
        <v>17</v>
      </c>
      <c r="F151" s="3" t="s">
        <v>39</v>
      </c>
      <c r="G151" s="3" t="s">
        <v>33</v>
      </c>
      <c r="H151" s="2">
        <v>80</v>
      </c>
      <c r="I151" s="2">
        <v>3</v>
      </c>
      <c r="J151" s="2">
        <v>2</v>
      </c>
      <c r="K151" s="2" t="str">
        <f t="shared" si="7"/>
        <v>2º Semestre</v>
      </c>
      <c r="L151" s="2" t="str">
        <f t="shared" si="8"/>
        <v>T3</v>
      </c>
      <c r="M151" s="2" t="str">
        <f t="shared" si="6"/>
        <v>ago</v>
      </c>
      <c r="N151" s="2">
        <v>8</v>
      </c>
    </row>
    <row r="152" spans="2:14" x14ac:dyDescent="0.3">
      <c r="B152" s="2">
        <v>151</v>
      </c>
      <c r="C152" s="4">
        <v>45884</v>
      </c>
      <c r="D152" s="3" t="s">
        <v>9</v>
      </c>
      <c r="E152" s="3" t="s">
        <v>20</v>
      </c>
      <c r="F152" s="3" t="s">
        <v>29</v>
      </c>
      <c r="G152" s="3" t="s">
        <v>35</v>
      </c>
      <c r="H152" s="2">
        <v>120</v>
      </c>
      <c r="I152" s="2">
        <v>1</v>
      </c>
      <c r="J152" s="2">
        <v>1</v>
      </c>
      <c r="K152" s="2" t="str">
        <f t="shared" si="7"/>
        <v>2º Semestre</v>
      </c>
      <c r="L152" s="2" t="str">
        <f t="shared" si="8"/>
        <v>T3</v>
      </c>
      <c r="M152" s="2" t="str">
        <f t="shared" si="6"/>
        <v>ago</v>
      </c>
      <c r="N152" s="2">
        <v>8</v>
      </c>
    </row>
    <row r="153" spans="2:14" x14ac:dyDescent="0.3">
      <c r="B153" s="2">
        <v>152</v>
      </c>
      <c r="C153" s="4">
        <v>45887</v>
      </c>
      <c r="D153" s="3" t="s">
        <v>11</v>
      </c>
      <c r="E153" s="3" t="s">
        <v>16</v>
      </c>
      <c r="F153" s="3" t="s">
        <v>36</v>
      </c>
      <c r="G153" s="3" t="s">
        <v>34</v>
      </c>
      <c r="H153" s="2">
        <v>42</v>
      </c>
      <c r="I153" s="2">
        <v>5</v>
      </c>
      <c r="J153" s="2">
        <v>1</v>
      </c>
      <c r="K153" s="2" t="str">
        <f t="shared" si="7"/>
        <v>2º Semestre</v>
      </c>
      <c r="L153" s="2" t="str">
        <f t="shared" si="8"/>
        <v>T3</v>
      </c>
      <c r="M153" s="2" t="str">
        <f t="shared" si="6"/>
        <v>ago</v>
      </c>
      <c r="N153" s="2">
        <v>8</v>
      </c>
    </row>
    <row r="154" spans="2:14" x14ac:dyDescent="0.3">
      <c r="B154" s="2">
        <v>153</v>
      </c>
      <c r="C154" s="4">
        <v>45888</v>
      </c>
      <c r="D154" s="3" t="s">
        <v>12</v>
      </c>
      <c r="E154" s="3" t="s">
        <v>14</v>
      </c>
      <c r="F154" s="3" t="s">
        <v>27</v>
      </c>
      <c r="G154" s="3" t="s">
        <v>32</v>
      </c>
      <c r="H154" s="2">
        <v>20</v>
      </c>
      <c r="I154" s="2">
        <v>2</v>
      </c>
      <c r="J154" s="2">
        <v>1</v>
      </c>
      <c r="K154" s="2" t="str">
        <f t="shared" si="7"/>
        <v>2º Semestre</v>
      </c>
      <c r="L154" s="2" t="str">
        <f t="shared" si="8"/>
        <v>T3</v>
      </c>
      <c r="M154" s="2" t="str">
        <f t="shared" si="6"/>
        <v>ago</v>
      </c>
      <c r="N154" s="2">
        <v>8</v>
      </c>
    </row>
    <row r="155" spans="2:14" x14ac:dyDescent="0.3">
      <c r="B155" s="2">
        <v>154</v>
      </c>
      <c r="C155" s="4">
        <v>45889</v>
      </c>
      <c r="D155" s="3" t="s">
        <v>9</v>
      </c>
      <c r="E155" s="3" t="s">
        <v>15</v>
      </c>
      <c r="F155" s="3" t="s">
        <v>23</v>
      </c>
      <c r="G155" s="3" t="s">
        <v>32</v>
      </c>
      <c r="H155" s="2">
        <v>110</v>
      </c>
      <c r="I155" s="2">
        <v>2</v>
      </c>
      <c r="J155" s="2">
        <v>1</v>
      </c>
      <c r="K155" s="2" t="str">
        <f t="shared" si="7"/>
        <v>2º Semestre</v>
      </c>
      <c r="L155" s="2" t="str">
        <f t="shared" si="8"/>
        <v>T3</v>
      </c>
      <c r="M155" s="2" t="str">
        <f t="shared" si="6"/>
        <v>ago</v>
      </c>
      <c r="N155" s="2">
        <v>8</v>
      </c>
    </row>
    <row r="156" spans="2:14" x14ac:dyDescent="0.3">
      <c r="B156" s="2">
        <v>155</v>
      </c>
      <c r="C156" s="4">
        <v>45890</v>
      </c>
      <c r="D156" s="3" t="s">
        <v>13</v>
      </c>
      <c r="E156" s="3" t="s">
        <v>19</v>
      </c>
      <c r="F156" s="3" t="s">
        <v>28</v>
      </c>
      <c r="G156" s="3" t="s">
        <v>34</v>
      </c>
      <c r="H156" s="2">
        <v>20</v>
      </c>
      <c r="I156" s="2">
        <v>9</v>
      </c>
      <c r="J156" s="2">
        <v>0</v>
      </c>
      <c r="K156" s="2" t="str">
        <f t="shared" si="7"/>
        <v>2º Semestre</v>
      </c>
      <c r="L156" s="2" t="str">
        <f t="shared" si="8"/>
        <v>T3</v>
      </c>
      <c r="M156" s="2" t="str">
        <f t="shared" si="6"/>
        <v>ago</v>
      </c>
      <c r="N156" s="2">
        <v>8</v>
      </c>
    </row>
    <row r="157" spans="2:14" x14ac:dyDescent="0.3">
      <c r="B157" s="2">
        <v>156</v>
      </c>
      <c r="C157" s="4">
        <v>45891</v>
      </c>
      <c r="D157" s="3" t="s">
        <v>9</v>
      </c>
      <c r="E157" s="3" t="s">
        <v>14</v>
      </c>
      <c r="F157" s="3" t="s">
        <v>22</v>
      </c>
      <c r="G157" s="3" t="s">
        <v>32</v>
      </c>
      <c r="H157" s="2">
        <v>110</v>
      </c>
      <c r="I157" s="2">
        <v>2</v>
      </c>
      <c r="J157" s="2">
        <v>1</v>
      </c>
      <c r="K157" s="2" t="str">
        <f t="shared" si="7"/>
        <v>2º Semestre</v>
      </c>
      <c r="L157" s="2" t="str">
        <f t="shared" si="8"/>
        <v>T3</v>
      </c>
      <c r="M157" s="2" t="str">
        <f t="shared" si="6"/>
        <v>ago</v>
      </c>
      <c r="N157" s="2">
        <v>8</v>
      </c>
    </row>
    <row r="158" spans="2:14" x14ac:dyDescent="0.3">
      <c r="B158" s="2">
        <v>157</v>
      </c>
      <c r="C158" s="4">
        <v>45894</v>
      </c>
      <c r="D158" s="3" t="s">
        <v>10</v>
      </c>
      <c r="E158" s="3" t="s">
        <v>16</v>
      </c>
      <c r="F158" s="3" t="s">
        <v>24</v>
      </c>
      <c r="G158" s="3" t="s">
        <v>33</v>
      </c>
      <c r="H158" s="2">
        <v>80</v>
      </c>
      <c r="I158" s="2">
        <v>4</v>
      </c>
      <c r="J158" s="2">
        <v>1</v>
      </c>
      <c r="K158" s="2" t="str">
        <f t="shared" si="7"/>
        <v>2º Semestre</v>
      </c>
      <c r="L158" s="2" t="str">
        <f t="shared" si="8"/>
        <v>T3</v>
      </c>
      <c r="M158" s="2" t="str">
        <f t="shared" si="6"/>
        <v>ago</v>
      </c>
      <c r="N158" s="2">
        <v>8</v>
      </c>
    </row>
    <row r="159" spans="2:14" x14ac:dyDescent="0.3">
      <c r="B159" s="2">
        <v>158</v>
      </c>
      <c r="C159" s="4">
        <v>45895</v>
      </c>
      <c r="D159" s="3" t="s">
        <v>11</v>
      </c>
      <c r="E159" s="3" t="s">
        <v>17</v>
      </c>
      <c r="F159" s="3" t="s">
        <v>25</v>
      </c>
      <c r="G159" s="3" t="s">
        <v>33</v>
      </c>
      <c r="H159" s="2">
        <v>42</v>
      </c>
      <c r="I159" s="2">
        <v>3</v>
      </c>
      <c r="J159" s="2">
        <v>2</v>
      </c>
      <c r="K159" s="2" t="str">
        <f t="shared" si="7"/>
        <v>2º Semestre</v>
      </c>
      <c r="L159" s="2" t="str">
        <f t="shared" si="8"/>
        <v>T3</v>
      </c>
      <c r="M159" s="2" t="str">
        <f t="shared" si="6"/>
        <v>ago</v>
      </c>
      <c r="N159" s="2">
        <v>8</v>
      </c>
    </row>
    <row r="160" spans="2:14" x14ac:dyDescent="0.3">
      <c r="B160" s="2">
        <v>159</v>
      </c>
      <c r="C160" s="4">
        <v>45896</v>
      </c>
      <c r="D160" s="3" t="s">
        <v>13</v>
      </c>
      <c r="E160" s="3" t="s">
        <v>15</v>
      </c>
      <c r="F160" s="3" t="s">
        <v>40</v>
      </c>
      <c r="G160" s="3" t="s">
        <v>32</v>
      </c>
      <c r="H160" s="2">
        <v>20</v>
      </c>
      <c r="I160" s="2">
        <v>5</v>
      </c>
      <c r="J160" s="2">
        <v>2</v>
      </c>
      <c r="K160" s="2" t="str">
        <f t="shared" si="7"/>
        <v>2º Semestre</v>
      </c>
      <c r="L160" s="2" t="str">
        <f t="shared" si="8"/>
        <v>T3</v>
      </c>
      <c r="M160" s="2" t="str">
        <f t="shared" si="6"/>
        <v>ago</v>
      </c>
      <c r="N160" s="2">
        <v>8</v>
      </c>
    </row>
    <row r="161" spans="2:14" x14ac:dyDescent="0.3">
      <c r="B161" s="2">
        <v>160</v>
      </c>
      <c r="C161" s="4">
        <v>45898</v>
      </c>
      <c r="D161" s="3" t="s">
        <v>9</v>
      </c>
      <c r="E161" s="3" t="s">
        <v>21</v>
      </c>
      <c r="F161" s="3" t="s">
        <v>30</v>
      </c>
      <c r="G161" s="3" t="s">
        <v>33</v>
      </c>
      <c r="H161" s="2">
        <v>110</v>
      </c>
      <c r="I161" s="2">
        <v>2</v>
      </c>
      <c r="J161" s="2">
        <v>1</v>
      </c>
      <c r="K161" s="2" t="str">
        <f t="shared" si="7"/>
        <v>2º Semestre</v>
      </c>
      <c r="L161" s="2" t="str">
        <f t="shared" si="8"/>
        <v>T3</v>
      </c>
      <c r="M161" s="2" t="str">
        <f t="shared" si="6"/>
        <v>ago</v>
      </c>
      <c r="N161" s="2">
        <v>8</v>
      </c>
    </row>
    <row r="162" spans="2:14" x14ac:dyDescent="0.3">
      <c r="B162" s="2">
        <v>161</v>
      </c>
      <c r="C162" s="4">
        <v>45901</v>
      </c>
      <c r="D162" s="3" t="s">
        <v>9</v>
      </c>
      <c r="E162" s="3" t="s">
        <v>14</v>
      </c>
      <c r="F162" s="3" t="s">
        <v>22</v>
      </c>
      <c r="G162" s="3" t="s">
        <v>32</v>
      </c>
      <c r="H162" s="2">
        <v>120</v>
      </c>
      <c r="I162" s="2">
        <v>2</v>
      </c>
      <c r="J162" s="2">
        <v>1</v>
      </c>
      <c r="K162" s="2" t="str">
        <f t="shared" si="7"/>
        <v>2º Semestre</v>
      </c>
      <c r="L162" s="2" t="str">
        <f t="shared" si="8"/>
        <v>T3</v>
      </c>
      <c r="M162" s="2" t="str">
        <f t="shared" si="6"/>
        <v>set</v>
      </c>
      <c r="N162" s="2">
        <v>9</v>
      </c>
    </row>
    <row r="163" spans="2:14" x14ac:dyDescent="0.3">
      <c r="B163" s="2">
        <v>162</v>
      </c>
      <c r="C163" s="4">
        <v>45902</v>
      </c>
      <c r="D163" s="3" t="s">
        <v>10</v>
      </c>
      <c r="E163" s="3" t="s">
        <v>16</v>
      </c>
      <c r="F163" s="3" t="s">
        <v>24</v>
      </c>
      <c r="G163" s="3" t="s">
        <v>33</v>
      </c>
      <c r="H163" s="2">
        <v>80</v>
      </c>
      <c r="I163" s="2">
        <v>4</v>
      </c>
      <c r="J163" s="2">
        <v>1</v>
      </c>
      <c r="K163" s="2" t="str">
        <f t="shared" si="7"/>
        <v>2º Semestre</v>
      </c>
      <c r="L163" s="2" t="str">
        <f t="shared" si="8"/>
        <v>T3</v>
      </c>
      <c r="M163" s="2" t="str">
        <f t="shared" si="6"/>
        <v>set</v>
      </c>
      <c r="N163" s="2">
        <v>9</v>
      </c>
    </row>
    <row r="164" spans="2:14" x14ac:dyDescent="0.3">
      <c r="B164" s="2">
        <v>163</v>
      </c>
      <c r="C164" s="4">
        <v>45903</v>
      </c>
      <c r="D164" s="3" t="s">
        <v>11</v>
      </c>
      <c r="E164" s="3" t="s">
        <v>17</v>
      </c>
      <c r="F164" s="3" t="s">
        <v>25</v>
      </c>
      <c r="G164" s="3" t="s">
        <v>33</v>
      </c>
      <c r="H164" s="2">
        <v>42</v>
      </c>
      <c r="I164" s="2">
        <v>3</v>
      </c>
      <c r="J164" s="2">
        <v>2</v>
      </c>
      <c r="K164" s="2" t="str">
        <f t="shared" si="7"/>
        <v>2º Semestre</v>
      </c>
      <c r="L164" s="2" t="str">
        <f t="shared" si="8"/>
        <v>T3</v>
      </c>
      <c r="M164" s="2" t="str">
        <f t="shared" si="6"/>
        <v>set</v>
      </c>
      <c r="N164" s="2">
        <v>9</v>
      </c>
    </row>
    <row r="165" spans="2:14" x14ac:dyDescent="0.3">
      <c r="B165" s="2">
        <v>164</v>
      </c>
      <c r="C165" s="4">
        <v>45904</v>
      </c>
      <c r="D165" s="3" t="s">
        <v>12</v>
      </c>
      <c r="E165" s="3" t="s">
        <v>18</v>
      </c>
      <c r="F165" s="3" t="s">
        <v>26</v>
      </c>
      <c r="G165" s="3" t="s">
        <v>32</v>
      </c>
      <c r="H165" s="2">
        <v>20</v>
      </c>
      <c r="I165" s="2">
        <v>1</v>
      </c>
      <c r="J165" s="2">
        <v>1</v>
      </c>
      <c r="K165" s="2" t="str">
        <f t="shared" si="7"/>
        <v>2º Semestre</v>
      </c>
      <c r="L165" s="2" t="str">
        <f t="shared" si="8"/>
        <v>T3</v>
      </c>
      <c r="M165" s="2" t="str">
        <f t="shared" si="6"/>
        <v>set</v>
      </c>
      <c r="N165" s="2">
        <v>9</v>
      </c>
    </row>
    <row r="166" spans="2:14" x14ac:dyDescent="0.3">
      <c r="B166" s="2">
        <v>165</v>
      </c>
      <c r="C166" s="4">
        <v>45905</v>
      </c>
      <c r="D166" s="3" t="s">
        <v>13</v>
      </c>
      <c r="E166" s="3" t="s">
        <v>19</v>
      </c>
      <c r="F166" s="3" t="s">
        <v>28</v>
      </c>
      <c r="G166" s="3" t="s">
        <v>34</v>
      </c>
      <c r="H166" s="2">
        <v>15</v>
      </c>
      <c r="I166" s="2">
        <v>8</v>
      </c>
      <c r="J166" s="2">
        <v>2</v>
      </c>
      <c r="K166" s="2" t="str">
        <f t="shared" si="7"/>
        <v>2º Semestre</v>
      </c>
      <c r="L166" s="2" t="str">
        <f t="shared" si="8"/>
        <v>T3</v>
      </c>
      <c r="M166" s="2" t="str">
        <f t="shared" si="6"/>
        <v>set</v>
      </c>
      <c r="N166" s="2">
        <v>9</v>
      </c>
    </row>
    <row r="167" spans="2:14" x14ac:dyDescent="0.3">
      <c r="B167" s="2">
        <v>166</v>
      </c>
      <c r="C167" s="4">
        <v>45908</v>
      </c>
      <c r="D167" s="3" t="s">
        <v>9</v>
      </c>
      <c r="E167" s="3" t="s">
        <v>15</v>
      </c>
      <c r="F167" s="3" t="s">
        <v>23</v>
      </c>
      <c r="G167" s="3" t="s">
        <v>32</v>
      </c>
      <c r="H167" s="2">
        <v>109</v>
      </c>
      <c r="I167" s="2">
        <v>2</v>
      </c>
      <c r="J167" s="2">
        <v>1</v>
      </c>
      <c r="K167" s="2" t="str">
        <f t="shared" si="7"/>
        <v>2º Semestre</v>
      </c>
      <c r="L167" s="2" t="str">
        <f t="shared" si="8"/>
        <v>T3</v>
      </c>
      <c r="M167" s="2" t="str">
        <f t="shared" si="6"/>
        <v>set</v>
      </c>
      <c r="N167" s="2">
        <v>9</v>
      </c>
    </row>
    <row r="168" spans="2:14" x14ac:dyDescent="0.3">
      <c r="B168" s="2">
        <v>167</v>
      </c>
      <c r="C168" s="4">
        <v>45909</v>
      </c>
      <c r="D168" s="3" t="s">
        <v>9</v>
      </c>
      <c r="E168" s="3" t="s">
        <v>37</v>
      </c>
      <c r="F168" s="3" t="s">
        <v>38</v>
      </c>
      <c r="G168" s="3" t="s">
        <v>33</v>
      </c>
      <c r="H168" s="2">
        <v>109</v>
      </c>
      <c r="I168" s="2">
        <v>3</v>
      </c>
      <c r="J168" s="2">
        <v>2</v>
      </c>
      <c r="K168" s="2" t="str">
        <f t="shared" si="7"/>
        <v>2º Semestre</v>
      </c>
      <c r="L168" s="2" t="str">
        <f t="shared" si="8"/>
        <v>T3</v>
      </c>
      <c r="M168" s="2" t="str">
        <f t="shared" si="6"/>
        <v>set</v>
      </c>
      <c r="N168" s="2">
        <v>9</v>
      </c>
    </row>
    <row r="169" spans="2:14" x14ac:dyDescent="0.3">
      <c r="B169" s="2">
        <v>168</v>
      </c>
      <c r="C169" s="4">
        <v>45910</v>
      </c>
      <c r="D169" s="3" t="s">
        <v>12</v>
      </c>
      <c r="E169" s="3" t="s">
        <v>14</v>
      </c>
      <c r="F169" s="3" t="s">
        <v>27</v>
      </c>
      <c r="G169" s="3" t="s">
        <v>32</v>
      </c>
      <c r="H169" s="2">
        <v>26</v>
      </c>
      <c r="I169" s="2">
        <v>2</v>
      </c>
      <c r="J169" s="2">
        <v>1</v>
      </c>
      <c r="K169" s="2" t="str">
        <f t="shared" si="7"/>
        <v>2º Semestre</v>
      </c>
      <c r="L169" s="2" t="str">
        <f t="shared" si="8"/>
        <v>T3</v>
      </c>
      <c r="M169" s="2" t="str">
        <f t="shared" si="6"/>
        <v>set</v>
      </c>
      <c r="N169" s="2">
        <v>9</v>
      </c>
    </row>
    <row r="170" spans="2:14" x14ac:dyDescent="0.3">
      <c r="B170" s="2">
        <v>169</v>
      </c>
      <c r="C170" s="4">
        <v>45911</v>
      </c>
      <c r="D170" s="3" t="s">
        <v>11</v>
      </c>
      <c r="E170" s="3" t="s">
        <v>16</v>
      </c>
      <c r="F170" s="3" t="s">
        <v>36</v>
      </c>
      <c r="G170" s="3" t="s">
        <v>34</v>
      </c>
      <c r="H170" s="2">
        <v>42</v>
      </c>
      <c r="I170" s="2">
        <v>4</v>
      </c>
      <c r="J170" s="2">
        <v>1</v>
      </c>
      <c r="K170" s="2" t="str">
        <f t="shared" si="7"/>
        <v>2º Semestre</v>
      </c>
      <c r="L170" s="2" t="str">
        <f t="shared" si="8"/>
        <v>T3</v>
      </c>
      <c r="M170" s="2" t="str">
        <f t="shared" si="6"/>
        <v>set</v>
      </c>
      <c r="N170" s="2">
        <v>9</v>
      </c>
    </row>
    <row r="171" spans="2:14" x14ac:dyDescent="0.3">
      <c r="B171" s="2">
        <v>170</v>
      </c>
      <c r="C171" s="4">
        <v>45912</v>
      </c>
      <c r="D171" s="3" t="s">
        <v>13</v>
      </c>
      <c r="E171" s="3" t="s">
        <v>15</v>
      </c>
      <c r="F171" s="3" t="s">
        <v>40</v>
      </c>
      <c r="G171" s="3" t="s">
        <v>32</v>
      </c>
      <c r="H171" s="2">
        <v>15</v>
      </c>
      <c r="I171" s="2">
        <v>5</v>
      </c>
      <c r="J171" s="2">
        <v>5</v>
      </c>
      <c r="K171" s="2" t="str">
        <f t="shared" si="7"/>
        <v>2º Semestre</v>
      </c>
      <c r="L171" s="2" t="str">
        <f t="shared" si="8"/>
        <v>T3</v>
      </c>
      <c r="M171" s="2" t="str">
        <f t="shared" si="6"/>
        <v>set</v>
      </c>
      <c r="N171" s="2">
        <v>9</v>
      </c>
    </row>
    <row r="172" spans="2:14" x14ac:dyDescent="0.3">
      <c r="B172" s="2">
        <v>171</v>
      </c>
      <c r="C172" s="4">
        <v>45915</v>
      </c>
      <c r="D172" s="3" t="s">
        <v>10</v>
      </c>
      <c r="E172" s="3" t="s">
        <v>17</v>
      </c>
      <c r="F172" s="3" t="s">
        <v>39</v>
      </c>
      <c r="G172" s="3" t="s">
        <v>33</v>
      </c>
      <c r="H172" s="2">
        <v>80</v>
      </c>
      <c r="I172" s="2">
        <v>3</v>
      </c>
      <c r="J172" s="2">
        <v>2</v>
      </c>
      <c r="K172" s="2" t="str">
        <f t="shared" si="7"/>
        <v>2º Semestre</v>
      </c>
      <c r="L172" s="2" t="str">
        <f t="shared" si="8"/>
        <v>T3</v>
      </c>
      <c r="M172" s="2" t="str">
        <f t="shared" si="6"/>
        <v>set</v>
      </c>
      <c r="N172" s="2">
        <v>9</v>
      </c>
    </row>
    <row r="173" spans="2:14" x14ac:dyDescent="0.3">
      <c r="B173" s="2">
        <v>172</v>
      </c>
      <c r="C173" s="4">
        <v>45916</v>
      </c>
      <c r="D173" s="3" t="s">
        <v>9</v>
      </c>
      <c r="E173" s="3" t="s">
        <v>21</v>
      </c>
      <c r="F173" s="3" t="s">
        <v>30</v>
      </c>
      <c r="G173" s="3" t="s">
        <v>33</v>
      </c>
      <c r="H173" s="2">
        <v>110</v>
      </c>
      <c r="I173" s="2">
        <v>2</v>
      </c>
      <c r="J173" s="2">
        <v>1</v>
      </c>
      <c r="K173" s="2" t="str">
        <f t="shared" si="7"/>
        <v>2º Semestre</v>
      </c>
      <c r="L173" s="2" t="str">
        <f t="shared" si="8"/>
        <v>T3</v>
      </c>
      <c r="M173" s="2" t="str">
        <f t="shared" si="6"/>
        <v>set</v>
      </c>
      <c r="N173" s="2">
        <v>9</v>
      </c>
    </row>
    <row r="174" spans="2:14" x14ac:dyDescent="0.3">
      <c r="B174" s="2">
        <v>173</v>
      </c>
      <c r="C174" s="4">
        <v>45917</v>
      </c>
      <c r="D174" s="3" t="s">
        <v>13</v>
      </c>
      <c r="E174" s="3" t="s">
        <v>19</v>
      </c>
      <c r="F174" s="3" t="s">
        <v>28</v>
      </c>
      <c r="G174" s="3" t="s">
        <v>34</v>
      </c>
      <c r="H174" s="2">
        <v>15</v>
      </c>
      <c r="I174" s="2">
        <v>7</v>
      </c>
      <c r="J174" s="2">
        <v>0</v>
      </c>
      <c r="K174" s="2" t="str">
        <f t="shared" si="7"/>
        <v>2º Semestre</v>
      </c>
      <c r="L174" s="2" t="str">
        <f t="shared" si="8"/>
        <v>T3</v>
      </c>
      <c r="M174" s="2" t="str">
        <f t="shared" si="6"/>
        <v>set</v>
      </c>
      <c r="N174" s="2">
        <v>9</v>
      </c>
    </row>
    <row r="175" spans="2:14" x14ac:dyDescent="0.3">
      <c r="B175" s="2">
        <v>174</v>
      </c>
      <c r="C175" s="4">
        <v>45918</v>
      </c>
      <c r="D175" s="3" t="s">
        <v>9</v>
      </c>
      <c r="E175" s="3" t="s">
        <v>14</v>
      </c>
      <c r="F175" s="3" t="s">
        <v>22</v>
      </c>
      <c r="G175" s="3" t="s">
        <v>32</v>
      </c>
      <c r="H175" s="2">
        <v>110</v>
      </c>
      <c r="I175" s="2">
        <v>2</v>
      </c>
      <c r="J175" s="2">
        <v>1</v>
      </c>
      <c r="K175" s="2" t="str">
        <f t="shared" si="7"/>
        <v>2º Semestre</v>
      </c>
      <c r="L175" s="2" t="str">
        <f t="shared" si="8"/>
        <v>T3</v>
      </c>
      <c r="M175" s="2" t="str">
        <f t="shared" si="6"/>
        <v>set</v>
      </c>
      <c r="N175" s="2">
        <v>9</v>
      </c>
    </row>
    <row r="176" spans="2:14" x14ac:dyDescent="0.3">
      <c r="B176" s="2">
        <v>175</v>
      </c>
      <c r="C176" s="4">
        <v>45919</v>
      </c>
      <c r="D176" s="3" t="s">
        <v>12</v>
      </c>
      <c r="E176" s="3" t="s">
        <v>18</v>
      </c>
      <c r="F176" s="3" t="s">
        <v>31</v>
      </c>
      <c r="G176" s="3" t="s">
        <v>32</v>
      </c>
      <c r="H176" s="2">
        <v>26</v>
      </c>
      <c r="I176" s="2">
        <v>1</v>
      </c>
      <c r="J176" s="2">
        <v>1</v>
      </c>
      <c r="K176" s="2" t="str">
        <f t="shared" si="7"/>
        <v>2º Semestre</v>
      </c>
      <c r="L176" s="2" t="str">
        <f t="shared" si="8"/>
        <v>T3</v>
      </c>
      <c r="M176" s="2" t="str">
        <f t="shared" si="6"/>
        <v>set</v>
      </c>
      <c r="N176" s="2">
        <v>9</v>
      </c>
    </row>
    <row r="177" spans="2:14" x14ac:dyDescent="0.3">
      <c r="B177" s="2">
        <v>176</v>
      </c>
      <c r="C177" s="4">
        <v>45922</v>
      </c>
      <c r="D177" s="3" t="s">
        <v>9</v>
      </c>
      <c r="E177" s="3" t="s">
        <v>20</v>
      </c>
      <c r="F177" s="3" t="s">
        <v>29</v>
      </c>
      <c r="G177" s="3" t="s">
        <v>35</v>
      </c>
      <c r="H177" s="2">
        <v>109</v>
      </c>
      <c r="I177" s="2">
        <v>1</v>
      </c>
      <c r="J177" s="2">
        <v>1</v>
      </c>
      <c r="K177" s="2" t="str">
        <f t="shared" si="7"/>
        <v>2º Semestre</v>
      </c>
      <c r="L177" s="2" t="str">
        <f t="shared" si="8"/>
        <v>T3</v>
      </c>
      <c r="M177" s="2" t="str">
        <f t="shared" si="6"/>
        <v>set</v>
      </c>
      <c r="N177" s="2">
        <v>9</v>
      </c>
    </row>
    <row r="178" spans="2:14" x14ac:dyDescent="0.3">
      <c r="B178" s="2">
        <v>177</v>
      </c>
      <c r="C178" s="4">
        <v>45923</v>
      </c>
      <c r="D178" s="3" t="s">
        <v>10</v>
      </c>
      <c r="E178" s="3" t="s">
        <v>16</v>
      </c>
      <c r="F178" s="3" t="s">
        <v>24</v>
      </c>
      <c r="G178" s="3" t="s">
        <v>33</v>
      </c>
      <c r="H178" s="2">
        <v>80</v>
      </c>
      <c r="I178" s="2">
        <v>4</v>
      </c>
      <c r="J178" s="2">
        <v>1</v>
      </c>
      <c r="K178" s="2" t="str">
        <f t="shared" si="7"/>
        <v>2º Semestre</v>
      </c>
      <c r="L178" s="2" t="str">
        <f t="shared" si="8"/>
        <v>T3</v>
      </c>
      <c r="M178" s="2" t="str">
        <f t="shared" si="6"/>
        <v>set</v>
      </c>
      <c r="N178" s="2">
        <v>9</v>
      </c>
    </row>
    <row r="179" spans="2:14" x14ac:dyDescent="0.3">
      <c r="B179" s="2">
        <v>178</v>
      </c>
      <c r="C179" s="4">
        <v>45924</v>
      </c>
      <c r="D179" s="3" t="s">
        <v>11</v>
      </c>
      <c r="E179" s="3" t="s">
        <v>17</v>
      </c>
      <c r="F179" s="3" t="s">
        <v>25</v>
      </c>
      <c r="G179" s="3" t="s">
        <v>33</v>
      </c>
      <c r="H179" s="2">
        <v>42</v>
      </c>
      <c r="I179" s="2">
        <v>3</v>
      </c>
      <c r="J179" s="2">
        <v>2</v>
      </c>
      <c r="K179" s="2" t="str">
        <f t="shared" si="7"/>
        <v>2º Semestre</v>
      </c>
      <c r="L179" s="2" t="str">
        <f t="shared" si="8"/>
        <v>T3</v>
      </c>
      <c r="M179" s="2" t="str">
        <f t="shared" si="6"/>
        <v>set</v>
      </c>
      <c r="N179" s="2">
        <v>9</v>
      </c>
    </row>
    <row r="180" spans="2:14" x14ac:dyDescent="0.3">
      <c r="B180" s="2">
        <v>179</v>
      </c>
      <c r="C180" s="4">
        <v>45925</v>
      </c>
      <c r="D180" s="3" t="s">
        <v>13</v>
      </c>
      <c r="E180" s="3" t="s">
        <v>19</v>
      </c>
      <c r="F180" s="3" t="s">
        <v>28</v>
      </c>
      <c r="G180" s="3" t="s">
        <v>34</v>
      </c>
      <c r="H180" s="2">
        <v>15</v>
      </c>
      <c r="I180" s="2">
        <v>8</v>
      </c>
      <c r="J180" s="2">
        <v>4</v>
      </c>
      <c r="K180" s="2" t="str">
        <f t="shared" si="7"/>
        <v>2º Semestre</v>
      </c>
      <c r="L180" s="2" t="str">
        <f t="shared" si="8"/>
        <v>T3</v>
      </c>
      <c r="M180" s="2" t="str">
        <f t="shared" si="6"/>
        <v>set</v>
      </c>
      <c r="N180" s="2">
        <v>9</v>
      </c>
    </row>
    <row r="181" spans="2:14" x14ac:dyDescent="0.3">
      <c r="B181" s="2">
        <v>180</v>
      </c>
      <c r="C181" s="4">
        <v>45929</v>
      </c>
      <c r="D181" s="3" t="s">
        <v>9</v>
      </c>
      <c r="E181" s="3" t="s">
        <v>15</v>
      </c>
      <c r="F181" s="3" t="s">
        <v>23</v>
      </c>
      <c r="G181" s="3" t="s">
        <v>32</v>
      </c>
      <c r="H181" s="2">
        <v>109</v>
      </c>
      <c r="I181" s="2">
        <v>2</v>
      </c>
      <c r="J181" s="2">
        <v>1</v>
      </c>
      <c r="K181" s="2" t="str">
        <f t="shared" si="7"/>
        <v>2º Semestre</v>
      </c>
      <c r="L181" s="2" t="str">
        <f t="shared" si="8"/>
        <v>T3</v>
      </c>
      <c r="M181" s="2" t="str">
        <f t="shared" si="6"/>
        <v>set</v>
      </c>
      <c r="N181" s="2">
        <v>9</v>
      </c>
    </row>
    <row r="182" spans="2:14" x14ac:dyDescent="0.3">
      <c r="B182" s="2">
        <v>181</v>
      </c>
      <c r="C182" s="4">
        <v>45932</v>
      </c>
      <c r="D182" s="3" t="s">
        <v>9</v>
      </c>
      <c r="E182" s="3" t="s">
        <v>14</v>
      </c>
      <c r="F182" s="3" t="s">
        <v>22</v>
      </c>
      <c r="G182" s="3" t="s">
        <v>32</v>
      </c>
      <c r="H182" s="2">
        <v>120</v>
      </c>
      <c r="I182" s="2">
        <v>2</v>
      </c>
      <c r="J182" s="2">
        <v>1</v>
      </c>
      <c r="K182" s="2" t="str">
        <f t="shared" si="7"/>
        <v>2º Semestre</v>
      </c>
      <c r="L182" s="2" t="str">
        <f t="shared" si="8"/>
        <v>T4</v>
      </c>
      <c r="M182" s="2" t="str">
        <f t="shared" si="6"/>
        <v>out</v>
      </c>
      <c r="N182" s="2">
        <v>10</v>
      </c>
    </row>
    <row r="183" spans="2:14" x14ac:dyDescent="0.3">
      <c r="B183" s="2">
        <v>182</v>
      </c>
      <c r="C183" s="4">
        <v>45933</v>
      </c>
      <c r="D183" s="3" t="s">
        <v>10</v>
      </c>
      <c r="E183" s="3" t="s">
        <v>16</v>
      </c>
      <c r="F183" s="3" t="s">
        <v>24</v>
      </c>
      <c r="G183" s="3" t="s">
        <v>33</v>
      </c>
      <c r="H183" s="2">
        <v>80</v>
      </c>
      <c r="I183" s="2">
        <v>4</v>
      </c>
      <c r="J183" s="2">
        <v>1</v>
      </c>
      <c r="K183" s="2" t="str">
        <f t="shared" si="7"/>
        <v>2º Semestre</v>
      </c>
      <c r="L183" s="2" t="str">
        <f t="shared" si="8"/>
        <v>T4</v>
      </c>
      <c r="M183" s="2" t="str">
        <f t="shared" si="6"/>
        <v>out</v>
      </c>
      <c r="N183" s="2">
        <v>10</v>
      </c>
    </row>
    <row r="184" spans="2:14" x14ac:dyDescent="0.3">
      <c r="B184" s="2">
        <v>183</v>
      </c>
      <c r="C184" s="4">
        <v>45936</v>
      </c>
      <c r="D184" s="3" t="s">
        <v>11</v>
      </c>
      <c r="E184" s="3" t="s">
        <v>17</v>
      </c>
      <c r="F184" s="3" t="s">
        <v>25</v>
      </c>
      <c r="G184" s="3" t="s">
        <v>33</v>
      </c>
      <c r="H184" s="2">
        <v>42</v>
      </c>
      <c r="I184" s="2">
        <v>3</v>
      </c>
      <c r="J184" s="2">
        <v>2</v>
      </c>
      <c r="K184" s="2" t="str">
        <f t="shared" si="7"/>
        <v>2º Semestre</v>
      </c>
      <c r="L184" s="2" t="str">
        <f t="shared" si="8"/>
        <v>T4</v>
      </c>
      <c r="M184" s="2" t="str">
        <f t="shared" si="6"/>
        <v>out</v>
      </c>
      <c r="N184" s="2">
        <v>10</v>
      </c>
    </row>
    <row r="185" spans="2:14" x14ac:dyDescent="0.3">
      <c r="B185" s="2">
        <v>184</v>
      </c>
      <c r="C185" s="4">
        <v>45937</v>
      </c>
      <c r="D185" s="3" t="s">
        <v>12</v>
      </c>
      <c r="E185" s="3" t="s">
        <v>18</v>
      </c>
      <c r="F185" s="3" t="s">
        <v>26</v>
      </c>
      <c r="G185" s="3" t="s">
        <v>32</v>
      </c>
      <c r="H185" s="2">
        <v>26</v>
      </c>
      <c r="I185" s="2">
        <v>1</v>
      </c>
      <c r="J185" s="2">
        <v>1</v>
      </c>
      <c r="K185" s="2" t="str">
        <f t="shared" si="7"/>
        <v>2º Semestre</v>
      </c>
      <c r="L185" s="2" t="str">
        <f t="shared" si="8"/>
        <v>T4</v>
      </c>
      <c r="M185" s="2" t="str">
        <f t="shared" si="6"/>
        <v>out</v>
      </c>
      <c r="N185" s="2">
        <v>10</v>
      </c>
    </row>
    <row r="186" spans="2:14" x14ac:dyDescent="0.3">
      <c r="B186" s="2">
        <v>185</v>
      </c>
      <c r="C186" s="4">
        <v>45938</v>
      </c>
      <c r="D186" s="3" t="s">
        <v>13</v>
      </c>
      <c r="E186" s="3" t="s">
        <v>19</v>
      </c>
      <c r="F186" s="3" t="s">
        <v>28</v>
      </c>
      <c r="G186" s="3" t="s">
        <v>34</v>
      </c>
      <c r="H186" s="2">
        <v>15</v>
      </c>
      <c r="I186" s="2">
        <v>7</v>
      </c>
      <c r="J186" s="2">
        <v>0</v>
      </c>
      <c r="K186" s="2" t="str">
        <f t="shared" si="7"/>
        <v>2º Semestre</v>
      </c>
      <c r="L186" s="2" t="str">
        <f t="shared" si="8"/>
        <v>T4</v>
      </c>
      <c r="M186" s="2" t="str">
        <f t="shared" si="6"/>
        <v>out</v>
      </c>
      <c r="N186" s="2">
        <v>10</v>
      </c>
    </row>
    <row r="187" spans="2:14" x14ac:dyDescent="0.3">
      <c r="B187" s="2">
        <v>186</v>
      </c>
      <c r="C187" s="4">
        <v>45939</v>
      </c>
      <c r="D187" s="3" t="s">
        <v>9</v>
      </c>
      <c r="E187" s="3" t="s">
        <v>15</v>
      </c>
      <c r="F187" s="3" t="s">
        <v>23</v>
      </c>
      <c r="G187" s="3" t="s">
        <v>32</v>
      </c>
      <c r="H187" s="2">
        <v>120</v>
      </c>
      <c r="I187" s="2">
        <v>2</v>
      </c>
      <c r="J187" s="2">
        <v>1</v>
      </c>
      <c r="K187" s="2" t="str">
        <f t="shared" si="7"/>
        <v>2º Semestre</v>
      </c>
      <c r="L187" s="2" t="str">
        <f t="shared" si="8"/>
        <v>T4</v>
      </c>
      <c r="M187" s="2" t="str">
        <f t="shared" si="6"/>
        <v>out</v>
      </c>
      <c r="N187" s="2">
        <v>10</v>
      </c>
    </row>
    <row r="188" spans="2:14" x14ac:dyDescent="0.3">
      <c r="B188" s="2">
        <v>187</v>
      </c>
      <c r="C188" s="4">
        <v>45940</v>
      </c>
      <c r="D188" s="3" t="s">
        <v>9</v>
      </c>
      <c r="E188" s="3" t="s">
        <v>21</v>
      </c>
      <c r="F188" s="3" t="s">
        <v>30</v>
      </c>
      <c r="G188" s="3" t="s">
        <v>33</v>
      </c>
      <c r="H188" s="2">
        <v>120</v>
      </c>
      <c r="I188" s="2">
        <v>2</v>
      </c>
      <c r="J188" s="2">
        <v>1</v>
      </c>
      <c r="K188" s="2" t="str">
        <f t="shared" si="7"/>
        <v>2º Semestre</v>
      </c>
      <c r="L188" s="2" t="str">
        <f t="shared" si="8"/>
        <v>T4</v>
      </c>
      <c r="M188" s="2" t="str">
        <f t="shared" si="6"/>
        <v>out</v>
      </c>
      <c r="N188" s="2">
        <v>10</v>
      </c>
    </row>
    <row r="189" spans="2:14" x14ac:dyDescent="0.3">
      <c r="B189" s="2">
        <v>188</v>
      </c>
      <c r="C189" s="4">
        <v>45943</v>
      </c>
      <c r="D189" s="3" t="s">
        <v>12</v>
      </c>
      <c r="E189" s="3" t="s">
        <v>14</v>
      </c>
      <c r="F189" s="3" t="s">
        <v>27</v>
      </c>
      <c r="G189" s="3" t="s">
        <v>32</v>
      </c>
      <c r="H189" s="2">
        <v>30</v>
      </c>
      <c r="I189" s="2">
        <v>2</v>
      </c>
      <c r="J189" s="2">
        <v>1</v>
      </c>
      <c r="K189" s="2" t="str">
        <f t="shared" si="7"/>
        <v>2º Semestre</v>
      </c>
      <c r="L189" s="2" t="str">
        <f t="shared" si="8"/>
        <v>T4</v>
      </c>
      <c r="M189" s="2" t="str">
        <f t="shared" si="6"/>
        <v>out</v>
      </c>
      <c r="N189" s="2">
        <v>10</v>
      </c>
    </row>
    <row r="190" spans="2:14" x14ac:dyDescent="0.3">
      <c r="B190" s="2">
        <v>189</v>
      </c>
      <c r="C190" s="4">
        <v>45944</v>
      </c>
      <c r="D190" s="3" t="s">
        <v>11</v>
      </c>
      <c r="E190" s="3" t="s">
        <v>16</v>
      </c>
      <c r="F190" s="3" t="s">
        <v>36</v>
      </c>
      <c r="G190" s="3" t="s">
        <v>34</v>
      </c>
      <c r="H190" s="2">
        <v>30</v>
      </c>
      <c r="I190" s="2">
        <v>4</v>
      </c>
      <c r="J190" s="2">
        <v>1</v>
      </c>
      <c r="K190" s="2" t="str">
        <f t="shared" si="7"/>
        <v>2º Semestre</v>
      </c>
      <c r="L190" s="2" t="str">
        <f t="shared" si="8"/>
        <v>T4</v>
      </c>
      <c r="M190" s="2" t="str">
        <f t="shared" si="6"/>
        <v>out</v>
      </c>
      <c r="N190" s="2">
        <v>10</v>
      </c>
    </row>
    <row r="191" spans="2:14" x14ac:dyDescent="0.3">
      <c r="B191" s="2">
        <v>190</v>
      </c>
      <c r="C191" s="4">
        <v>45945</v>
      </c>
      <c r="D191" s="3" t="s">
        <v>9</v>
      </c>
      <c r="E191" s="3" t="s">
        <v>37</v>
      </c>
      <c r="F191" s="3" t="s">
        <v>38</v>
      </c>
      <c r="G191" s="3" t="s">
        <v>33</v>
      </c>
      <c r="H191" s="2">
        <v>120</v>
      </c>
      <c r="I191" s="2">
        <v>3</v>
      </c>
      <c r="J191" s="2">
        <v>2</v>
      </c>
      <c r="K191" s="2" t="str">
        <f t="shared" si="7"/>
        <v>2º Semestre</v>
      </c>
      <c r="L191" s="2" t="str">
        <f t="shared" si="8"/>
        <v>T4</v>
      </c>
      <c r="M191" s="2" t="str">
        <f t="shared" si="6"/>
        <v>out</v>
      </c>
      <c r="N191" s="2">
        <v>10</v>
      </c>
    </row>
    <row r="192" spans="2:14" x14ac:dyDescent="0.3">
      <c r="B192" s="2">
        <v>191</v>
      </c>
      <c r="C192" s="4">
        <v>45946</v>
      </c>
      <c r="D192" s="3" t="s">
        <v>10</v>
      </c>
      <c r="E192" s="3" t="s">
        <v>17</v>
      </c>
      <c r="F192" s="3" t="s">
        <v>39</v>
      </c>
      <c r="G192" s="3" t="s">
        <v>33</v>
      </c>
      <c r="H192" s="2">
        <v>80</v>
      </c>
      <c r="I192" s="2">
        <v>3</v>
      </c>
      <c r="J192" s="2">
        <v>2</v>
      </c>
      <c r="K192" s="2" t="str">
        <f t="shared" si="7"/>
        <v>2º Semestre</v>
      </c>
      <c r="L192" s="2" t="str">
        <f t="shared" si="8"/>
        <v>T4</v>
      </c>
      <c r="M192" s="2" t="str">
        <f t="shared" si="6"/>
        <v>out</v>
      </c>
      <c r="N192" s="2">
        <v>10</v>
      </c>
    </row>
    <row r="193" spans="2:14" x14ac:dyDescent="0.3">
      <c r="B193" s="2">
        <v>192</v>
      </c>
      <c r="C193" s="4">
        <v>45947</v>
      </c>
      <c r="D193" s="3" t="s">
        <v>13</v>
      </c>
      <c r="E193" s="3" t="s">
        <v>15</v>
      </c>
      <c r="F193" s="3" t="s">
        <v>40</v>
      </c>
      <c r="G193" s="3" t="s">
        <v>32</v>
      </c>
      <c r="H193" s="2">
        <v>15</v>
      </c>
      <c r="I193" s="2">
        <v>4</v>
      </c>
      <c r="J193" s="2">
        <v>2</v>
      </c>
      <c r="K193" s="2" t="str">
        <f t="shared" si="7"/>
        <v>2º Semestre</v>
      </c>
      <c r="L193" s="2" t="str">
        <f t="shared" si="8"/>
        <v>T4</v>
      </c>
      <c r="M193" s="2" t="str">
        <f t="shared" si="6"/>
        <v>out</v>
      </c>
      <c r="N193" s="2">
        <v>10</v>
      </c>
    </row>
    <row r="194" spans="2:14" x14ac:dyDescent="0.3">
      <c r="B194" s="2">
        <v>193</v>
      </c>
      <c r="C194" s="4">
        <v>45950</v>
      </c>
      <c r="D194" s="3" t="s">
        <v>9</v>
      </c>
      <c r="E194" s="3" t="s">
        <v>14</v>
      </c>
      <c r="F194" s="3" t="s">
        <v>22</v>
      </c>
      <c r="G194" s="3" t="s">
        <v>32</v>
      </c>
      <c r="H194" s="2">
        <v>100</v>
      </c>
      <c r="I194" s="2">
        <v>2</v>
      </c>
      <c r="J194" s="2">
        <v>1</v>
      </c>
      <c r="K194" s="2" t="str">
        <f t="shared" si="7"/>
        <v>2º Semestre</v>
      </c>
      <c r="L194" s="2" t="str">
        <f t="shared" si="8"/>
        <v>T4</v>
      </c>
      <c r="M194" s="2" t="str">
        <f t="shared" ref="M194:M241" si="9">TEXT(C194,"MMM")</f>
        <v>out</v>
      </c>
      <c r="N194" s="2">
        <v>10</v>
      </c>
    </row>
    <row r="195" spans="2:14" x14ac:dyDescent="0.3">
      <c r="B195" s="2">
        <v>194</v>
      </c>
      <c r="C195" s="4">
        <v>45951</v>
      </c>
      <c r="D195" s="3" t="s">
        <v>12</v>
      </c>
      <c r="E195" s="3" t="s">
        <v>18</v>
      </c>
      <c r="F195" s="3" t="s">
        <v>31</v>
      </c>
      <c r="G195" s="3" t="s">
        <v>32</v>
      </c>
      <c r="H195" s="2">
        <v>30</v>
      </c>
      <c r="I195" s="2">
        <v>1</v>
      </c>
      <c r="J195" s="2">
        <v>1</v>
      </c>
      <c r="K195" s="2" t="str">
        <f t="shared" ref="K195:K241" si="10">IF(MONTH(M195 &amp; " 1")&lt;=6, "1º Semestre", "2º Semestre")</f>
        <v>2º Semestre</v>
      </c>
      <c r="L195" s="2" t="str">
        <f t="shared" ref="L195" si="11">"T"&amp;ROUNDUP(VALUE(N195)/3,0)</f>
        <v>T4</v>
      </c>
      <c r="M195" s="2" t="str">
        <f t="shared" si="9"/>
        <v>out</v>
      </c>
      <c r="N195" s="2">
        <v>10</v>
      </c>
    </row>
    <row r="196" spans="2:14" x14ac:dyDescent="0.3">
      <c r="B196" s="2">
        <v>195</v>
      </c>
      <c r="C196" s="4">
        <v>45952</v>
      </c>
      <c r="D196" s="3" t="s">
        <v>10</v>
      </c>
      <c r="E196" s="3" t="s">
        <v>16</v>
      </c>
      <c r="F196" s="3" t="s">
        <v>24</v>
      </c>
      <c r="G196" s="3" t="s">
        <v>33</v>
      </c>
      <c r="H196" s="2">
        <v>85</v>
      </c>
      <c r="I196" s="2">
        <v>4</v>
      </c>
      <c r="J196" s="2">
        <v>1</v>
      </c>
      <c r="K196" s="2" t="str">
        <f t="shared" si="10"/>
        <v>2º Semestre</v>
      </c>
      <c r="L196" s="2" t="str">
        <f>"T"&amp;ROUNDUP(VALUE(N196)/3,0)</f>
        <v>T4</v>
      </c>
      <c r="M196" s="2" t="str">
        <f t="shared" si="9"/>
        <v>out</v>
      </c>
      <c r="N196" s="2">
        <v>10</v>
      </c>
    </row>
    <row r="197" spans="2:14" x14ac:dyDescent="0.3">
      <c r="B197" s="2">
        <v>196</v>
      </c>
      <c r="C197" s="4">
        <v>45953</v>
      </c>
      <c r="D197" s="3" t="s">
        <v>13</v>
      </c>
      <c r="E197" s="3" t="s">
        <v>19</v>
      </c>
      <c r="F197" s="3" t="s">
        <v>28</v>
      </c>
      <c r="G197" s="3" t="s">
        <v>34</v>
      </c>
      <c r="H197" s="2">
        <v>15</v>
      </c>
      <c r="I197" s="2">
        <v>7</v>
      </c>
      <c r="J197" s="2">
        <v>4</v>
      </c>
      <c r="K197" s="2" t="str">
        <f t="shared" si="10"/>
        <v>2º Semestre</v>
      </c>
      <c r="L197" s="2" t="str">
        <f t="shared" ref="L197:L241" si="12">"T"&amp;ROUNDUP(VALUE(N197)/3,0)</f>
        <v>T4</v>
      </c>
      <c r="M197" s="2" t="str">
        <f t="shared" si="9"/>
        <v>out</v>
      </c>
      <c r="N197" s="2">
        <v>10</v>
      </c>
    </row>
    <row r="198" spans="2:14" x14ac:dyDescent="0.3">
      <c r="B198" s="2">
        <v>197</v>
      </c>
      <c r="C198" s="4">
        <v>45954</v>
      </c>
      <c r="D198" s="3" t="s">
        <v>9</v>
      </c>
      <c r="E198" s="3" t="s">
        <v>20</v>
      </c>
      <c r="F198" s="3" t="s">
        <v>29</v>
      </c>
      <c r="G198" s="3" t="s">
        <v>35</v>
      </c>
      <c r="H198" s="2">
        <v>110</v>
      </c>
      <c r="I198" s="2">
        <v>1</v>
      </c>
      <c r="J198" s="2">
        <v>1</v>
      </c>
      <c r="K198" s="2" t="str">
        <f t="shared" si="10"/>
        <v>2º Semestre</v>
      </c>
      <c r="L198" s="2" t="str">
        <f t="shared" si="12"/>
        <v>T4</v>
      </c>
      <c r="M198" s="2" t="str">
        <f t="shared" si="9"/>
        <v>out</v>
      </c>
      <c r="N198" s="2">
        <v>10</v>
      </c>
    </row>
    <row r="199" spans="2:14" x14ac:dyDescent="0.3">
      <c r="B199" s="2">
        <v>198</v>
      </c>
      <c r="C199" s="4">
        <v>45957</v>
      </c>
      <c r="D199" s="3" t="s">
        <v>11</v>
      </c>
      <c r="E199" s="3" t="s">
        <v>17</v>
      </c>
      <c r="F199" s="3" t="s">
        <v>25</v>
      </c>
      <c r="G199" s="3" t="s">
        <v>33</v>
      </c>
      <c r="H199" s="2">
        <v>30</v>
      </c>
      <c r="I199" s="2">
        <v>3</v>
      </c>
      <c r="J199" s="2">
        <v>2</v>
      </c>
      <c r="K199" s="2" t="str">
        <f t="shared" si="10"/>
        <v>2º Semestre</v>
      </c>
      <c r="L199" s="2" t="str">
        <f t="shared" si="12"/>
        <v>T4</v>
      </c>
      <c r="M199" s="2" t="str">
        <f t="shared" si="9"/>
        <v>out</v>
      </c>
      <c r="N199" s="2">
        <v>10</v>
      </c>
    </row>
    <row r="200" spans="2:14" x14ac:dyDescent="0.3">
      <c r="B200" s="2">
        <v>199</v>
      </c>
      <c r="C200" s="4">
        <v>45958</v>
      </c>
      <c r="D200" s="3" t="s">
        <v>9</v>
      </c>
      <c r="E200" s="3" t="s">
        <v>15</v>
      </c>
      <c r="F200" s="3" t="s">
        <v>23</v>
      </c>
      <c r="G200" s="3" t="s">
        <v>32</v>
      </c>
      <c r="H200" s="2">
        <v>110</v>
      </c>
      <c r="I200" s="2">
        <v>2</v>
      </c>
      <c r="J200" s="2">
        <v>1</v>
      </c>
      <c r="K200" s="2" t="str">
        <f t="shared" si="10"/>
        <v>2º Semestre</v>
      </c>
      <c r="L200" s="2" t="str">
        <f t="shared" si="12"/>
        <v>T4</v>
      </c>
      <c r="M200" s="2" t="str">
        <f t="shared" si="9"/>
        <v>out</v>
      </c>
      <c r="N200" s="2">
        <v>10</v>
      </c>
    </row>
    <row r="201" spans="2:14" x14ac:dyDescent="0.3">
      <c r="B201" s="2">
        <v>200</v>
      </c>
      <c r="C201" s="4">
        <v>45960</v>
      </c>
      <c r="D201" s="3" t="s">
        <v>12</v>
      </c>
      <c r="E201" s="3" t="s">
        <v>14</v>
      </c>
      <c r="F201" s="3" t="s">
        <v>27</v>
      </c>
      <c r="G201" s="3" t="s">
        <v>32</v>
      </c>
      <c r="H201" s="2">
        <v>30</v>
      </c>
      <c r="I201" s="2">
        <v>2</v>
      </c>
      <c r="J201" s="2">
        <v>1</v>
      </c>
      <c r="K201" s="2" t="str">
        <f t="shared" si="10"/>
        <v>2º Semestre</v>
      </c>
      <c r="L201" s="2" t="str">
        <f t="shared" si="12"/>
        <v>T4</v>
      </c>
      <c r="M201" s="2" t="str">
        <f t="shared" si="9"/>
        <v>out</v>
      </c>
      <c r="N201" s="2">
        <v>10</v>
      </c>
    </row>
    <row r="202" spans="2:14" x14ac:dyDescent="0.3">
      <c r="B202" s="2">
        <v>201</v>
      </c>
      <c r="C202" s="4">
        <v>45964</v>
      </c>
      <c r="D202" s="3" t="s">
        <v>9</v>
      </c>
      <c r="E202" s="3" t="s">
        <v>14</v>
      </c>
      <c r="F202" s="3" t="s">
        <v>22</v>
      </c>
      <c r="G202" s="3" t="s">
        <v>32</v>
      </c>
      <c r="H202" s="2">
        <v>110</v>
      </c>
      <c r="I202" s="2">
        <v>1</v>
      </c>
      <c r="J202" s="2">
        <v>1</v>
      </c>
      <c r="K202" s="2" t="str">
        <f t="shared" si="10"/>
        <v>2º Semestre</v>
      </c>
      <c r="L202" s="2" t="str">
        <f t="shared" si="12"/>
        <v>T4</v>
      </c>
      <c r="M202" s="2" t="str">
        <f t="shared" si="9"/>
        <v>nov</v>
      </c>
      <c r="N202" s="2">
        <v>11</v>
      </c>
    </row>
    <row r="203" spans="2:14" x14ac:dyDescent="0.3">
      <c r="B203" s="2">
        <v>202</v>
      </c>
      <c r="C203" s="4">
        <v>45965</v>
      </c>
      <c r="D203" s="3" t="s">
        <v>10</v>
      </c>
      <c r="E203" s="3" t="s">
        <v>16</v>
      </c>
      <c r="F203" s="3" t="s">
        <v>24</v>
      </c>
      <c r="G203" s="3" t="s">
        <v>33</v>
      </c>
      <c r="H203" s="2">
        <v>85</v>
      </c>
      <c r="I203" s="2">
        <v>3</v>
      </c>
      <c r="J203" s="2">
        <v>1</v>
      </c>
      <c r="K203" s="2" t="str">
        <f t="shared" si="10"/>
        <v>2º Semestre</v>
      </c>
      <c r="L203" s="2" t="str">
        <f t="shared" si="12"/>
        <v>T4</v>
      </c>
      <c r="M203" s="2" t="str">
        <f t="shared" si="9"/>
        <v>nov</v>
      </c>
      <c r="N203" s="2">
        <v>11</v>
      </c>
    </row>
    <row r="204" spans="2:14" x14ac:dyDescent="0.3">
      <c r="B204" s="2">
        <v>203</v>
      </c>
      <c r="C204" s="4">
        <v>45966</v>
      </c>
      <c r="D204" s="3" t="s">
        <v>11</v>
      </c>
      <c r="E204" s="3" t="s">
        <v>17</v>
      </c>
      <c r="F204" s="3" t="s">
        <v>25</v>
      </c>
      <c r="G204" s="3" t="s">
        <v>33</v>
      </c>
      <c r="H204" s="2">
        <v>30</v>
      </c>
      <c r="I204" s="2">
        <v>3</v>
      </c>
      <c r="J204" s="2">
        <v>2</v>
      </c>
      <c r="K204" s="2" t="str">
        <f t="shared" si="10"/>
        <v>2º Semestre</v>
      </c>
      <c r="L204" s="2" t="str">
        <f t="shared" si="12"/>
        <v>T4</v>
      </c>
      <c r="M204" s="2" t="str">
        <f t="shared" si="9"/>
        <v>nov</v>
      </c>
      <c r="N204" s="2">
        <v>11</v>
      </c>
    </row>
    <row r="205" spans="2:14" x14ac:dyDescent="0.3">
      <c r="B205" s="2">
        <v>204</v>
      </c>
      <c r="C205" s="4">
        <v>45967</v>
      </c>
      <c r="D205" s="3" t="s">
        <v>12</v>
      </c>
      <c r="E205" s="3" t="s">
        <v>18</v>
      </c>
      <c r="F205" s="3" t="s">
        <v>26</v>
      </c>
      <c r="G205" s="3" t="s">
        <v>32</v>
      </c>
      <c r="H205" s="2">
        <v>26</v>
      </c>
      <c r="I205" s="2">
        <v>1</v>
      </c>
      <c r="J205" s="2">
        <v>1</v>
      </c>
      <c r="K205" s="2" t="str">
        <f t="shared" si="10"/>
        <v>2º Semestre</v>
      </c>
      <c r="L205" s="2" t="str">
        <f t="shared" si="12"/>
        <v>T4</v>
      </c>
      <c r="M205" s="2" t="str">
        <f t="shared" si="9"/>
        <v>nov</v>
      </c>
      <c r="N205" s="2">
        <v>11</v>
      </c>
    </row>
    <row r="206" spans="2:14" x14ac:dyDescent="0.3">
      <c r="B206" s="2">
        <v>205</v>
      </c>
      <c r="C206" s="4">
        <v>45968</v>
      </c>
      <c r="D206" s="3" t="s">
        <v>13</v>
      </c>
      <c r="E206" s="3" t="s">
        <v>19</v>
      </c>
      <c r="F206" s="3" t="s">
        <v>28</v>
      </c>
      <c r="G206" s="3" t="s">
        <v>34</v>
      </c>
      <c r="H206" s="2">
        <v>10</v>
      </c>
      <c r="I206" s="2">
        <v>6</v>
      </c>
      <c r="J206" s="2">
        <v>2</v>
      </c>
      <c r="K206" s="2" t="str">
        <f t="shared" si="10"/>
        <v>2º Semestre</v>
      </c>
      <c r="L206" s="2" t="str">
        <f t="shared" si="12"/>
        <v>T4</v>
      </c>
      <c r="M206" s="2" t="str">
        <f t="shared" si="9"/>
        <v>nov</v>
      </c>
      <c r="N206" s="2">
        <v>11</v>
      </c>
    </row>
    <row r="207" spans="2:14" x14ac:dyDescent="0.3">
      <c r="B207" s="2">
        <v>206</v>
      </c>
      <c r="C207" s="4">
        <v>45971</v>
      </c>
      <c r="D207" s="3" t="s">
        <v>9</v>
      </c>
      <c r="E207" s="3" t="s">
        <v>15</v>
      </c>
      <c r="F207" s="3" t="s">
        <v>23</v>
      </c>
      <c r="G207" s="3" t="s">
        <v>32</v>
      </c>
      <c r="H207" s="2">
        <v>109</v>
      </c>
      <c r="I207" s="2">
        <v>2</v>
      </c>
      <c r="J207" s="2">
        <v>1</v>
      </c>
      <c r="K207" s="2" t="str">
        <f t="shared" si="10"/>
        <v>2º Semestre</v>
      </c>
      <c r="L207" s="2" t="str">
        <f t="shared" si="12"/>
        <v>T4</v>
      </c>
      <c r="M207" s="2" t="str">
        <f t="shared" si="9"/>
        <v>nov</v>
      </c>
      <c r="N207" s="2">
        <v>11</v>
      </c>
    </row>
    <row r="208" spans="2:14" x14ac:dyDescent="0.3">
      <c r="B208" s="2">
        <v>207</v>
      </c>
      <c r="C208" s="4">
        <v>45972</v>
      </c>
      <c r="D208" s="3" t="s">
        <v>9</v>
      </c>
      <c r="E208" s="3" t="s">
        <v>21</v>
      </c>
      <c r="F208" s="3" t="s">
        <v>30</v>
      </c>
      <c r="G208" s="3" t="s">
        <v>33</v>
      </c>
      <c r="H208" s="2">
        <v>109</v>
      </c>
      <c r="I208" s="2">
        <v>2</v>
      </c>
      <c r="J208" s="2">
        <v>1</v>
      </c>
      <c r="K208" s="2" t="str">
        <f t="shared" si="10"/>
        <v>2º Semestre</v>
      </c>
      <c r="L208" s="2" t="str">
        <f t="shared" si="12"/>
        <v>T4</v>
      </c>
      <c r="M208" s="2" t="str">
        <f t="shared" si="9"/>
        <v>nov</v>
      </c>
      <c r="N208" s="2">
        <v>11</v>
      </c>
    </row>
    <row r="209" spans="2:14" x14ac:dyDescent="0.3">
      <c r="B209" s="2">
        <v>208</v>
      </c>
      <c r="C209" s="4">
        <v>45973</v>
      </c>
      <c r="D209" s="3" t="s">
        <v>12</v>
      </c>
      <c r="E209" s="3" t="s">
        <v>14</v>
      </c>
      <c r="F209" s="3" t="s">
        <v>27</v>
      </c>
      <c r="G209" s="3" t="s">
        <v>32</v>
      </c>
      <c r="H209" s="2">
        <v>20</v>
      </c>
      <c r="I209" s="2">
        <v>1</v>
      </c>
      <c r="J209" s="2">
        <v>1</v>
      </c>
      <c r="K209" s="2" t="str">
        <f t="shared" si="10"/>
        <v>2º Semestre</v>
      </c>
      <c r="L209" s="2" t="str">
        <f t="shared" si="12"/>
        <v>T4</v>
      </c>
      <c r="M209" s="2" t="str">
        <f t="shared" si="9"/>
        <v>nov</v>
      </c>
      <c r="N209" s="2">
        <v>11</v>
      </c>
    </row>
    <row r="210" spans="2:14" x14ac:dyDescent="0.3">
      <c r="B210" s="2">
        <v>209</v>
      </c>
      <c r="C210" s="4">
        <v>45974</v>
      </c>
      <c r="D210" s="3" t="s">
        <v>11</v>
      </c>
      <c r="E210" s="3" t="s">
        <v>16</v>
      </c>
      <c r="F210" s="3" t="s">
        <v>36</v>
      </c>
      <c r="G210" s="3" t="s">
        <v>34</v>
      </c>
      <c r="H210" s="2">
        <v>30</v>
      </c>
      <c r="I210" s="2">
        <v>4</v>
      </c>
      <c r="J210" s="2">
        <v>1</v>
      </c>
      <c r="K210" s="2" t="str">
        <f t="shared" si="10"/>
        <v>2º Semestre</v>
      </c>
      <c r="L210" s="2" t="str">
        <f t="shared" si="12"/>
        <v>T4</v>
      </c>
      <c r="M210" s="2" t="str">
        <f t="shared" si="9"/>
        <v>nov</v>
      </c>
      <c r="N210" s="2">
        <v>11</v>
      </c>
    </row>
    <row r="211" spans="2:14" x14ac:dyDescent="0.3">
      <c r="B211" s="2">
        <v>210</v>
      </c>
      <c r="C211" s="4">
        <v>45975</v>
      </c>
      <c r="D211" s="3" t="s">
        <v>9</v>
      </c>
      <c r="E211" s="3" t="s">
        <v>37</v>
      </c>
      <c r="F211" s="3" t="s">
        <v>38</v>
      </c>
      <c r="G211" s="3" t="s">
        <v>33</v>
      </c>
      <c r="H211" s="2">
        <v>110</v>
      </c>
      <c r="I211" s="2">
        <v>2</v>
      </c>
      <c r="J211" s="2">
        <v>2</v>
      </c>
      <c r="K211" s="2" t="str">
        <f t="shared" si="10"/>
        <v>2º Semestre</v>
      </c>
      <c r="L211" s="2" t="str">
        <f t="shared" si="12"/>
        <v>T4</v>
      </c>
      <c r="M211" s="2" t="str">
        <f t="shared" si="9"/>
        <v>nov</v>
      </c>
      <c r="N211" s="2">
        <v>11</v>
      </c>
    </row>
    <row r="212" spans="2:14" x14ac:dyDescent="0.3">
      <c r="B212" s="2">
        <v>211</v>
      </c>
      <c r="C212" s="4">
        <v>45978</v>
      </c>
      <c r="D212" s="3" t="s">
        <v>10</v>
      </c>
      <c r="E212" s="3" t="s">
        <v>17</v>
      </c>
      <c r="F212" s="3" t="s">
        <v>39</v>
      </c>
      <c r="G212" s="3" t="s">
        <v>33</v>
      </c>
      <c r="H212" s="2">
        <v>85</v>
      </c>
      <c r="I212" s="2">
        <v>2</v>
      </c>
      <c r="J212" s="2">
        <v>2</v>
      </c>
      <c r="K212" s="2" t="str">
        <f t="shared" si="10"/>
        <v>2º Semestre</v>
      </c>
      <c r="L212" s="2" t="str">
        <f t="shared" si="12"/>
        <v>T4</v>
      </c>
      <c r="M212" s="2" t="str">
        <f t="shared" si="9"/>
        <v>nov</v>
      </c>
      <c r="N212" s="2">
        <v>11</v>
      </c>
    </row>
    <row r="213" spans="2:14" x14ac:dyDescent="0.3">
      <c r="B213" s="2">
        <v>212</v>
      </c>
      <c r="C213" s="4">
        <v>45979</v>
      </c>
      <c r="D213" s="3" t="s">
        <v>13</v>
      </c>
      <c r="E213" s="3" t="s">
        <v>15</v>
      </c>
      <c r="F213" s="3" t="s">
        <v>40</v>
      </c>
      <c r="G213" s="3" t="s">
        <v>32</v>
      </c>
      <c r="H213" s="2">
        <v>10</v>
      </c>
      <c r="I213" s="2">
        <v>4</v>
      </c>
      <c r="J213" s="2">
        <v>2</v>
      </c>
      <c r="K213" s="2" t="str">
        <f t="shared" si="10"/>
        <v>2º Semestre</v>
      </c>
      <c r="L213" s="2" t="str">
        <f t="shared" si="12"/>
        <v>T4</v>
      </c>
      <c r="M213" s="2" t="str">
        <f t="shared" si="9"/>
        <v>nov</v>
      </c>
      <c r="N213" s="2">
        <v>11</v>
      </c>
    </row>
    <row r="214" spans="2:14" x14ac:dyDescent="0.3">
      <c r="B214" s="2">
        <v>213</v>
      </c>
      <c r="C214" s="4">
        <v>45980</v>
      </c>
      <c r="D214" s="3" t="s">
        <v>9</v>
      </c>
      <c r="E214" s="3" t="s">
        <v>14</v>
      </c>
      <c r="F214" s="3" t="s">
        <v>22</v>
      </c>
      <c r="G214" s="3" t="s">
        <v>32</v>
      </c>
      <c r="H214" s="2">
        <v>110</v>
      </c>
      <c r="I214" s="2">
        <v>1</v>
      </c>
      <c r="J214" s="2">
        <v>1</v>
      </c>
      <c r="K214" s="2" t="str">
        <f t="shared" si="10"/>
        <v>2º Semestre</v>
      </c>
      <c r="L214" s="2" t="str">
        <f t="shared" si="12"/>
        <v>T4</v>
      </c>
      <c r="M214" s="2" t="str">
        <f t="shared" si="9"/>
        <v>nov</v>
      </c>
      <c r="N214" s="2">
        <v>11</v>
      </c>
    </row>
    <row r="215" spans="2:14" x14ac:dyDescent="0.3">
      <c r="B215" s="2">
        <v>214</v>
      </c>
      <c r="C215" s="4">
        <v>45981</v>
      </c>
      <c r="D215" s="3" t="s">
        <v>12</v>
      </c>
      <c r="E215" s="3" t="s">
        <v>18</v>
      </c>
      <c r="F215" s="3" t="s">
        <v>31</v>
      </c>
      <c r="G215" s="3" t="s">
        <v>32</v>
      </c>
      <c r="H215" s="2">
        <v>30</v>
      </c>
      <c r="I215" s="2">
        <v>1</v>
      </c>
      <c r="J215" s="2">
        <v>1</v>
      </c>
      <c r="K215" s="2" t="str">
        <f t="shared" si="10"/>
        <v>2º Semestre</v>
      </c>
      <c r="L215" s="2" t="str">
        <f t="shared" si="12"/>
        <v>T4</v>
      </c>
      <c r="M215" s="2" t="str">
        <f t="shared" si="9"/>
        <v>nov</v>
      </c>
      <c r="N215" s="2">
        <v>11</v>
      </c>
    </row>
    <row r="216" spans="2:14" x14ac:dyDescent="0.3">
      <c r="B216" s="2">
        <v>215</v>
      </c>
      <c r="C216" s="4">
        <v>45982</v>
      </c>
      <c r="D216" s="3" t="s">
        <v>10</v>
      </c>
      <c r="E216" s="3" t="s">
        <v>16</v>
      </c>
      <c r="F216" s="3" t="s">
        <v>24</v>
      </c>
      <c r="G216" s="3" t="s">
        <v>33</v>
      </c>
      <c r="H216" s="2">
        <v>85</v>
      </c>
      <c r="I216" s="2">
        <v>3</v>
      </c>
      <c r="J216" s="2">
        <v>1</v>
      </c>
      <c r="K216" s="2" t="str">
        <f t="shared" si="10"/>
        <v>2º Semestre</v>
      </c>
      <c r="L216" s="2" t="str">
        <f t="shared" si="12"/>
        <v>T4</v>
      </c>
      <c r="M216" s="2" t="str">
        <f t="shared" si="9"/>
        <v>nov</v>
      </c>
      <c r="N216" s="2">
        <v>11</v>
      </c>
    </row>
    <row r="217" spans="2:14" x14ac:dyDescent="0.3">
      <c r="B217" s="2">
        <v>216</v>
      </c>
      <c r="C217" s="4">
        <v>45985</v>
      </c>
      <c r="D217" s="3" t="s">
        <v>13</v>
      </c>
      <c r="E217" s="3" t="s">
        <v>19</v>
      </c>
      <c r="F217" s="3" t="s">
        <v>28</v>
      </c>
      <c r="G217" s="3" t="s">
        <v>34</v>
      </c>
      <c r="H217" s="2">
        <v>10</v>
      </c>
      <c r="I217" s="2">
        <v>6</v>
      </c>
      <c r="J217" s="2">
        <v>0</v>
      </c>
      <c r="K217" s="2" t="str">
        <f t="shared" si="10"/>
        <v>2º Semestre</v>
      </c>
      <c r="L217" s="2" t="str">
        <f t="shared" si="12"/>
        <v>T4</v>
      </c>
      <c r="M217" s="2" t="str">
        <f t="shared" si="9"/>
        <v>nov</v>
      </c>
      <c r="N217" s="2">
        <v>11</v>
      </c>
    </row>
    <row r="218" spans="2:14" x14ac:dyDescent="0.3">
      <c r="B218" s="2">
        <v>217</v>
      </c>
      <c r="C218" s="4">
        <v>45986</v>
      </c>
      <c r="D218" s="3" t="s">
        <v>9</v>
      </c>
      <c r="E218" s="3" t="s">
        <v>20</v>
      </c>
      <c r="F218" s="3" t="s">
        <v>29</v>
      </c>
      <c r="G218" s="3" t="s">
        <v>35</v>
      </c>
      <c r="H218" s="2">
        <v>120</v>
      </c>
      <c r="I218" s="2">
        <v>1</v>
      </c>
      <c r="J218" s="2">
        <v>1</v>
      </c>
      <c r="K218" s="2" t="str">
        <f t="shared" si="10"/>
        <v>2º Semestre</v>
      </c>
      <c r="L218" s="2" t="str">
        <f t="shared" si="12"/>
        <v>T4</v>
      </c>
      <c r="M218" s="2" t="str">
        <f t="shared" si="9"/>
        <v>nov</v>
      </c>
      <c r="N218" s="2">
        <v>11</v>
      </c>
    </row>
    <row r="219" spans="2:14" x14ac:dyDescent="0.3">
      <c r="B219" s="2">
        <v>218</v>
      </c>
      <c r="C219" s="4">
        <v>45987</v>
      </c>
      <c r="D219" s="3" t="s">
        <v>11</v>
      </c>
      <c r="E219" s="3" t="s">
        <v>17</v>
      </c>
      <c r="F219" s="3" t="s">
        <v>25</v>
      </c>
      <c r="G219" s="3" t="s">
        <v>33</v>
      </c>
      <c r="H219" s="2">
        <v>50</v>
      </c>
      <c r="I219" s="2">
        <v>3</v>
      </c>
      <c r="J219" s="2">
        <v>2</v>
      </c>
      <c r="K219" s="2" t="str">
        <f t="shared" si="10"/>
        <v>2º Semestre</v>
      </c>
      <c r="L219" s="2" t="str">
        <f t="shared" si="12"/>
        <v>T4</v>
      </c>
      <c r="M219" s="2" t="str">
        <f t="shared" si="9"/>
        <v>nov</v>
      </c>
      <c r="N219" s="2">
        <v>11</v>
      </c>
    </row>
    <row r="220" spans="2:14" x14ac:dyDescent="0.3">
      <c r="B220" s="2">
        <v>219</v>
      </c>
      <c r="C220" s="4">
        <v>45988</v>
      </c>
      <c r="D220" s="3" t="s">
        <v>9</v>
      </c>
      <c r="E220" s="3" t="s">
        <v>15</v>
      </c>
      <c r="F220" s="3" t="s">
        <v>23</v>
      </c>
      <c r="G220" s="3" t="s">
        <v>32</v>
      </c>
      <c r="H220" s="2">
        <v>120</v>
      </c>
      <c r="I220" s="2">
        <v>2</v>
      </c>
      <c r="J220" s="2">
        <v>1</v>
      </c>
      <c r="K220" s="2" t="str">
        <f t="shared" si="10"/>
        <v>2º Semestre</v>
      </c>
      <c r="L220" s="2" t="str">
        <f t="shared" si="12"/>
        <v>T4</v>
      </c>
      <c r="M220" s="2" t="str">
        <f t="shared" si="9"/>
        <v>nov</v>
      </c>
      <c r="N220" s="2">
        <v>11</v>
      </c>
    </row>
    <row r="221" spans="2:14" x14ac:dyDescent="0.3">
      <c r="B221" s="2">
        <v>220</v>
      </c>
      <c r="C221" s="4">
        <v>45989</v>
      </c>
      <c r="D221" s="3" t="s">
        <v>12</v>
      </c>
      <c r="E221" s="3" t="s">
        <v>14</v>
      </c>
      <c r="F221" s="3" t="s">
        <v>27</v>
      </c>
      <c r="G221" s="3" t="s">
        <v>32</v>
      </c>
      <c r="H221" s="2">
        <v>26</v>
      </c>
      <c r="I221" s="2">
        <v>1</v>
      </c>
      <c r="J221" s="2">
        <v>1</v>
      </c>
      <c r="K221" s="2" t="str">
        <f t="shared" si="10"/>
        <v>2º Semestre</v>
      </c>
      <c r="L221" s="2" t="str">
        <f t="shared" si="12"/>
        <v>T4</v>
      </c>
      <c r="M221" s="2" t="str">
        <f t="shared" si="9"/>
        <v>nov</v>
      </c>
      <c r="N221" s="2">
        <v>11</v>
      </c>
    </row>
    <row r="222" spans="2:14" x14ac:dyDescent="0.3">
      <c r="B222" s="2">
        <v>221</v>
      </c>
      <c r="C222" s="4">
        <v>45992</v>
      </c>
      <c r="D222" s="3" t="s">
        <v>9</v>
      </c>
      <c r="E222" s="3" t="s">
        <v>14</v>
      </c>
      <c r="F222" s="3" t="s">
        <v>22</v>
      </c>
      <c r="G222" s="3" t="s">
        <v>32</v>
      </c>
      <c r="H222" s="2">
        <v>110</v>
      </c>
      <c r="I222" s="2">
        <v>1</v>
      </c>
      <c r="J222" s="2">
        <v>1</v>
      </c>
      <c r="K222" s="2" t="str">
        <f t="shared" si="10"/>
        <v>2º Semestre</v>
      </c>
      <c r="L222" s="2" t="str">
        <f t="shared" si="12"/>
        <v>T4</v>
      </c>
      <c r="M222" s="2" t="str">
        <f t="shared" si="9"/>
        <v>dez</v>
      </c>
      <c r="N222" s="2">
        <v>12</v>
      </c>
    </row>
    <row r="223" spans="2:14" x14ac:dyDescent="0.3">
      <c r="B223" s="2">
        <v>222</v>
      </c>
      <c r="C223" s="4">
        <v>45993</v>
      </c>
      <c r="D223" s="3" t="s">
        <v>10</v>
      </c>
      <c r="E223" s="3" t="s">
        <v>16</v>
      </c>
      <c r="F223" s="3" t="s">
        <v>24</v>
      </c>
      <c r="G223" s="3" t="s">
        <v>33</v>
      </c>
      <c r="H223" s="2">
        <v>85</v>
      </c>
      <c r="I223" s="2">
        <v>3</v>
      </c>
      <c r="J223" s="2">
        <v>1</v>
      </c>
      <c r="K223" s="2" t="str">
        <f t="shared" si="10"/>
        <v>2º Semestre</v>
      </c>
      <c r="L223" s="2" t="str">
        <f t="shared" si="12"/>
        <v>T4</v>
      </c>
      <c r="M223" s="2" t="str">
        <f t="shared" si="9"/>
        <v>dez</v>
      </c>
      <c r="N223" s="2">
        <v>12</v>
      </c>
    </row>
    <row r="224" spans="2:14" x14ac:dyDescent="0.3">
      <c r="B224" s="2">
        <v>223</v>
      </c>
      <c r="C224" s="4">
        <v>45994</v>
      </c>
      <c r="D224" s="3" t="s">
        <v>11</v>
      </c>
      <c r="E224" s="3" t="s">
        <v>17</v>
      </c>
      <c r="F224" s="3" t="s">
        <v>25</v>
      </c>
      <c r="G224" s="3" t="s">
        <v>33</v>
      </c>
      <c r="H224" s="2">
        <v>50</v>
      </c>
      <c r="I224" s="2">
        <v>2</v>
      </c>
      <c r="J224" s="2">
        <v>1</v>
      </c>
      <c r="K224" s="2" t="str">
        <f t="shared" si="10"/>
        <v>2º Semestre</v>
      </c>
      <c r="L224" s="2" t="str">
        <f t="shared" si="12"/>
        <v>T4</v>
      </c>
      <c r="M224" s="2" t="str">
        <f t="shared" si="9"/>
        <v>dez</v>
      </c>
      <c r="N224" s="2">
        <v>12</v>
      </c>
    </row>
    <row r="225" spans="2:14" x14ac:dyDescent="0.3">
      <c r="B225" s="2">
        <v>224</v>
      </c>
      <c r="C225" s="4">
        <v>45995</v>
      </c>
      <c r="D225" s="3" t="s">
        <v>12</v>
      </c>
      <c r="E225" s="3" t="s">
        <v>18</v>
      </c>
      <c r="F225" s="3" t="s">
        <v>26</v>
      </c>
      <c r="G225" s="3" t="s">
        <v>32</v>
      </c>
      <c r="H225" s="2">
        <v>26</v>
      </c>
      <c r="I225" s="2">
        <v>1</v>
      </c>
      <c r="J225" s="2">
        <v>1</v>
      </c>
      <c r="K225" s="2" t="str">
        <f t="shared" si="10"/>
        <v>2º Semestre</v>
      </c>
      <c r="L225" s="2" t="str">
        <f t="shared" si="12"/>
        <v>T4</v>
      </c>
      <c r="M225" s="2" t="str">
        <f t="shared" si="9"/>
        <v>dez</v>
      </c>
      <c r="N225" s="2">
        <v>12</v>
      </c>
    </row>
    <row r="226" spans="2:14" x14ac:dyDescent="0.3">
      <c r="B226" s="2">
        <v>225</v>
      </c>
      <c r="C226" s="4">
        <v>45996</v>
      </c>
      <c r="D226" s="3" t="s">
        <v>13</v>
      </c>
      <c r="E226" s="3" t="s">
        <v>19</v>
      </c>
      <c r="F226" s="3" t="s">
        <v>28</v>
      </c>
      <c r="G226" s="3" t="s">
        <v>34</v>
      </c>
      <c r="H226" s="2">
        <v>10</v>
      </c>
      <c r="I226" s="2">
        <v>5</v>
      </c>
      <c r="J226" s="2">
        <v>3</v>
      </c>
      <c r="K226" s="2" t="str">
        <f t="shared" si="10"/>
        <v>2º Semestre</v>
      </c>
      <c r="L226" s="2" t="str">
        <f t="shared" si="12"/>
        <v>T4</v>
      </c>
      <c r="M226" s="2" t="str">
        <f t="shared" si="9"/>
        <v>dez</v>
      </c>
      <c r="N226" s="2">
        <v>12</v>
      </c>
    </row>
    <row r="227" spans="2:14" x14ac:dyDescent="0.3">
      <c r="B227" s="2">
        <v>226</v>
      </c>
      <c r="C227" s="4">
        <v>45999</v>
      </c>
      <c r="D227" s="3" t="s">
        <v>9</v>
      </c>
      <c r="E227" s="3" t="s">
        <v>15</v>
      </c>
      <c r="F227" s="3" t="s">
        <v>23</v>
      </c>
      <c r="G227" s="3" t="s">
        <v>32</v>
      </c>
      <c r="H227" s="2">
        <v>110</v>
      </c>
      <c r="I227" s="2">
        <v>1</v>
      </c>
      <c r="J227" s="2">
        <v>1</v>
      </c>
      <c r="K227" s="2" t="str">
        <f t="shared" si="10"/>
        <v>2º Semestre</v>
      </c>
      <c r="L227" s="2" t="str">
        <f t="shared" si="12"/>
        <v>T4</v>
      </c>
      <c r="M227" s="2" t="str">
        <f t="shared" si="9"/>
        <v>dez</v>
      </c>
      <c r="N227" s="2">
        <v>12</v>
      </c>
    </row>
    <row r="228" spans="2:14" x14ac:dyDescent="0.3">
      <c r="B228" s="2">
        <v>227</v>
      </c>
      <c r="C228" s="4">
        <v>46000</v>
      </c>
      <c r="D228" s="3" t="s">
        <v>9</v>
      </c>
      <c r="E228" s="3" t="s">
        <v>21</v>
      </c>
      <c r="F228" s="3" t="s">
        <v>30</v>
      </c>
      <c r="G228" s="3" t="s">
        <v>33</v>
      </c>
      <c r="H228" s="2">
        <v>110</v>
      </c>
      <c r="I228" s="2">
        <v>2</v>
      </c>
      <c r="J228" s="2">
        <v>1</v>
      </c>
      <c r="K228" s="2" t="str">
        <f t="shared" si="10"/>
        <v>2º Semestre</v>
      </c>
      <c r="L228" s="2" t="str">
        <f t="shared" si="12"/>
        <v>T4</v>
      </c>
      <c r="M228" s="2" t="str">
        <f t="shared" si="9"/>
        <v>dez</v>
      </c>
      <c r="N228" s="2">
        <v>12</v>
      </c>
    </row>
    <row r="229" spans="2:14" x14ac:dyDescent="0.3">
      <c r="B229" s="2">
        <v>228</v>
      </c>
      <c r="C229" s="4">
        <v>46001</v>
      </c>
      <c r="D229" s="3" t="s">
        <v>12</v>
      </c>
      <c r="E229" s="3" t="s">
        <v>14</v>
      </c>
      <c r="F229" s="3" t="s">
        <v>27</v>
      </c>
      <c r="G229" s="3" t="s">
        <v>32</v>
      </c>
      <c r="H229" s="2">
        <v>30</v>
      </c>
      <c r="I229" s="2">
        <v>1</v>
      </c>
      <c r="J229" s="2">
        <v>1</v>
      </c>
      <c r="K229" s="2" t="str">
        <f t="shared" si="10"/>
        <v>2º Semestre</v>
      </c>
      <c r="L229" s="2" t="str">
        <f t="shared" si="12"/>
        <v>T4</v>
      </c>
      <c r="M229" s="2" t="str">
        <f t="shared" si="9"/>
        <v>dez</v>
      </c>
      <c r="N229" s="2">
        <v>12</v>
      </c>
    </row>
    <row r="230" spans="2:14" x14ac:dyDescent="0.3">
      <c r="B230" s="2">
        <v>229</v>
      </c>
      <c r="C230" s="4">
        <v>46002</v>
      </c>
      <c r="D230" s="3" t="s">
        <v>11</v>
      </c>
      <c r="E230" s="3" t="s">
        <v>16</v>
      </c>
      <c r="F230" s="3" t="s">
        <v>36</v>
      </c>
      <c r="G230" s="3" t="s">
        <v>34</v>
      </c>
      <c r="H230" s="2">
        <v>50</v>
      </c>
      <c r="I230" s="2">
        <v>3</v>
      </c>
      <c r="J230" s="2">
        <v>1</v>
      </c>
      <c r="K230" s="2" t="str">
        <f t="shared" si="10"/>
        <v>2º Semestre</v>
      </c>
      <c r="L230" s="2" t="str">
        <f t="shared" si="12"/>
        <v>T4</v>
      </c>
      <c r="M230" s="2" t="str">
        <f t="shared" si="9"/>
        <v>dez</v>
      </c>
      <c r="N230" s="2">
        <v>12</v>
      </c>
    </row>
    <row r="231" spans="2:14" x14ac:dyDescent="0.3">
      <c r="B231" s="2">
        <v>230</v>
      </c>
      <c r="C231" s="4">
        <v>46003</v>
      </c>
      <c r="D231" s="3" t="s">
        <v>9</v>
      </c>
      <c r="E231" s="3" t="s">
        <v>37</v>
      </c>
      <c r="F231" s="3" t="s">
        <v>38</v>
      </c>
      <c r="G231" s="3" t="s">
        <v>33</v>
      </c>
      <c r="H231" s="2">
        <v>100</v>
      </c>
      <c r="I231" s="2">
        <v>2</v>
      </c>
      <c r="J231" s="2">
        <v>1</v>
      </c>
      <c r="K231" s="2" t="str">
        <f t="shared" si="10"/>
        <v>2º Semestre</v>
      </c>
      <c r="L231" s="2" t="str">
        <f t="shared" si="12"/>
        <v>T4</v>
      </c>
      <c r="M231" s="2" t="str">
        <f t="shared" si="9"/>
        <v>dez</v>
      </c>
      <c r="N231" s="2">
        <v>12</v>
      </c>
    </row>
    <row r="232" spans="2:14" x14ac:dyDescent="0.3">
      <c r="B232" s="2">
        <v>231</v>
      </c>
      <c r="C232" s="4">
        <v>46006</v>
      </c>
      <c r="D232" s="3" t="s">
        <v>10</v>
      </c>
      <c r="E232" s="3" t="s">
        <v>17</v>
      </c>
      <c r="F232" s="3" t="s">
        <v>39</v>
      </c>
      <c r="G232" s="3" t="s">
        <v>33</v>
      </c>
      <c r="H232" s="2">
        <v>85</v>
      </c>
      <c r="I232" s="2">
        <v>2</v>
      </c>
      <c r="J232" s="2">
        <v>1</v>
      </c>
      <c r="K232" s="2" t="str">
        <f t="shared" si="10"/>
        <v>2º Semestre</v>
      </c>
      <c r="L232" s="2" t="str">
        <f t="shared" si="12"/>
        <v>T4</v>
      </c>
      <c r="M232" s="2" t="str">
        <f t="shared" si="9"/>
        <v>dez</v>
      </c>
      <c r="N232" s="2">
        <v>12</v>
      </c>
    </row>
    <row r="233" spans="2:14" x14ac:dyDescent="0.3">
      <c r="B233" s="2">
        <v>232</v>
      </c>
      <c r="C233" s="4">
        <v>46007</v>
      </c>
      <c r="D233" s="3" t="s">
        <v>13</v>
      </c>
      <c r="E233" s="3" t="s">
        <v>15</v>
      </c>
      <c r="F233" s="3" t="s">
        <v>40</v>
      </c>
      <c r="G233" s="3" t="s">
        <v>32</v>
      </c>
      <c r="H233" s="2">
        <v>10</v>
      </c>
      <c r="I233" s="2">
        <v>3</v>
      </c>
      <c r="J233" s="2">
        <v>3</v>
      </c>
      <c r="K233" s="2" t="str">
        <f t="shared" si="10"/>
        <v>2º Semestre</v>
      </c>
      <c r="L233" s="2" t="str">
        <f t="shared" si="12"/>
        <v>T4</v>
      </c>
      <c r="M233" s="2" t="str">
        <f t="shared" si="9"/>
        <v>dez</v>
      </c>
      <c r="N233" s="2">
        <v>12</v>
      </c>
    </row>
    <row r="234" spans="2:14" x14ac:dyDescent="0.3">
      <c r="B234" s="2">
        <v>233</v>
      </c>
      <c r="C234" s="4">
        <v>46008</v>
      </c>
      <c r="D234" s="3" t="s">
        <v>9</v>
      </c>
      <c r="E234" s="3" t="s">
        <v>14</v>
      </c>
      <c r="F234" s="3" t="s">
        <v>22</v>
      </c>
      <c r="G234" s="3" t="s">
        <v>32</v>
      </c>
      <c r="H234" s="2">
        <v>100</v>
      </c>
      <c r="I234" s="2">
        <v>1</v>
      </c>
      <c r="J234" s="2">
        <v>1</v>
      </c>
      <c r="K234" s="2" t="str">
        <f t="shared" si="10"/>
        <v>2º Semestre</v>
      </c>
      <c r="L234" s="2" t="str">
        <f t="shared" si="12"/>
        <v>T4</v>
      </c>
      <c r="M234" s="2" t="str">
        <f t="shared" si="9"/>
        <v>dez</v>
      </c>
      <c r="N234" s="2">
        <v>12</v>
      </c>
    </row>
    <row r="235" spans="2:14" x14ac:dyDescent="0.3">
      <c r="B235" s="2">
        <v>234</v>
      </c>
      <c r="C235" s="4">
        <v>46009</v>
      </c>
      <c r="D235" s="3" t="s">
        <v>12</v>
      </c>
      <c r="E235" s="3" t="s">
        <v>18</v>
      </c>
      <c r="F235" s="3" t="s">
        <v>31</v>
      </c>
      <c r="G235" s="3" t="s">
        <v>32</v>
      </c>
      <c r="H235" s="2">
        <v>20</v>
      </c>
      <c r="I235" s="2">
        <v>1</v>
      </c>
      <c r="J235" s="2">
        <v>1</v>
      </c>
      <c r="K235" s="2" t="str">
        <f t="shared" si="10"/>
        <v>2º Semestre</v>
      </c>
      <c r="L235" s="2" t="str">
        <f t="shared" si="12"/>
        <v>T4</v>
      </c>
      <c r="M235" s="2" t="str">
        <f t="shared" si="9"/>
        <v>dez</v>
      </c>
      <c r="N235" s="2">
        <v>12</v>
      </c>
    </row>
    <row r="236" spans="2:14" x14ac:dyDescent="0.3">
      <c r="B236" s="2">
        <v>235</v>
      </c>
      <c r="C236" s="4">
        <v>46010</v>
      </c>
      <c r="D236" s="3" t="s">
        <v>10</v>
      </c>
      <c r="E236" s="3" t="s">
        <v>16</v>
      </c>
      <c r="F236" s="3" t="s">
        <v>24</v>
      </c>
      <c r="G236" s="3" t="s">
        <v>33</v>
      </c>
      <c r="H236" s="2">
        <v>80</v>
      </c>
      <c r="I236" s="2">
        <v>3</v>
      </c>
      <c r="J236" s="2">
        <v>1</v>
      </c>
      <c r="K236" s="2" t="str">
        <f t="shared" si="10"/>
        <v>2º Semestre</v>
      </c>
      <c r="L236" s="2" t="str">
        <f t="shared" si="12"/>
        <v>T4</v>
      </c>
      <c r="M236" s="2" t="str">
        <f t="shared" si="9"/>
        <v>dez</v>
      </c>
      <c r="N236" s="2">
        <v>12</v>
      </c>
    </row>
    <row r="237" spans="2:14" x14ac:dyDescent="0.3">
      <c r="B237" s="2">
        <v>236</v>
      </c>
      <c r="C237" s="4">
        <v>46013</v>
      </c>
      <c r="D237" s="3" t="s">
        <v>13</v>
      </c>
      <c r="E237" s="3" t="s">
        <v>19</v>
      </c>
      <c r="F237" s="3" t="s">
        <v>28</v>
      </c>
      <c r="G237" s="3" t="s">
        <v>34</v>
      </c>
      <c r="H237" s="2">
        <v>10</v>
      </c>
      <c r="I237" s="2">
        <v>5</v>
      </c>
      <c r="J237" s="2">
        <v>2</v>
      </c>
      <c r="K237" s="2" t="str">
        <f t="shared" si="10"/>
        <v>2º Semestre</v>
      </c>
      <c r="L237" s="2" t="str">
        <f t="shared" si="12"/>
        <v>T4</v>
      </c>
      <c r="M237" s="2" t="str">
        <f t="shared" si="9"/>
        <v>dez</v>
      </c>
      <c r="N237" s="2">
        <v>12</v>
      </c>
    </row>
    <row r="238" spans="2:14" x14ac:dyDescent="0.3">
      <c r="B238" s="2">
        <v>237</v>
      </c>
      <c r="C238" s="4">
        <v>46014</v>
      </c>
      <c r="D238" s="3" t="s">
        <v>9</v>
      </c>
      <c r="E238" s="3" t="s">
        <v>20</v>
      </c>
      <c r="F238" s="3" t="s">
        <v>29</v>
      </c>
      <c r="G238" s="3" t="s">
        <v>35</v>
      </c>
      <c r="H238" s="2">
        <v>100</v>
      </c>
      <c r="I238" s="2">
        <v>1</v>
      </c>
      <c r="J238" s="2">
        <v>1</v>
      </c>
      <c r="K238" s="2" t="str">
        <f t="shared" si="10"/>
        <v>2º Semestre</v>
      </c>
      <c r="L238" s="2" t="str">
        <f t="shared" si="12"/>
        <v>T4</v>
      </c>
      <c r="M238" s="2" t="str">
        <f t="shared" si="9"/>
        <v>dez</v>
      </c>
      <c r="N238" s="2">
        <v>12</v>
      </c>
    </row>
    <row r="239" spans="2:14" x14ac:dyDescent="0.3">
      <c r="B239" s="2">
        <v>238</v>
      </c>
      <c r="C239" s="4">
        <v>46017</v>
      </c>
      <c r="D239" s="3" t="s">
        <v>11</v>
      </c>
      <c r="E239" s="3" t="s">
        <v>17</v>
      </c>
      <c r="F239" s="3" t="s">
        <v>25</v>
      </c>
      <c r="G239" s="3" t="s">
        <v>33</v>
      </c>
      <c r="H239" s="2">
        <v>50</v>
      </c>
      <c r="I239" s="2">
        <v>2</v>
      </c>
      <c r="J239" s="2">
        <v>1</v>
      </c>
      <c r="K239" s="2" t="str">
        <f t="shared" si="10"/>
        <v>2º Semestre</v>
      </c>
      <c r="L239" s="2" t="str">
        <f t="shared" si="12"/>
        <v>T4</v>
      </c>
      <c r="M239" s="2" t="str">
        <f t="shared" si="9"/>
        <v>dez</v>
      </c>
      <c r="N239" s="2">
        <v>12</v>
      </c>
    </row>
    <row r="240" spans="2:14" x14ac:dyDescent="0.3">
      <c r="B240" s="2">
        <v>239</v>
      </c>
      <c r="C240" s="4">
        <v>46020</v>
      </c>
      <c r="D240" s="3" t="s">
        <v>9</v>
      </c>
      <c r="E240" s="3" t="s">
        <v>15</v>
      </c>
      <c r="F240" s="3" t="s">
        <v>23</v>
      </c>
      <c r="G240" s="3" t="s">
        <v>32</v>
      </c>
      <c r="H240" s="2">
        <v>100</v>
      </c>
      <c r="I240" s="2">
        <v>1</v>
      </c>
      <c r="J240" s="2">
        <v>1</v>
      </c>
      <c r="K240" s="2" t="str">
        <f t="shared" si="10"/>
        <v>2º Semestre</v>
      </c>
      <c r="L240" s="2" t="str">
        <f t="shared" si="12"/>
        <v>T4</v>
      </c>
      <c r="M240" s="2" t="str">
        <f t="shared" si="9"/>
        <v>dez</v>
      </c>
      <c r="N240" s="2">
        <v>12</v>
      </c>
    </row>
    <row r="241" spans="2:14" x14ac:dyDescent="0.3">
      <c r="B241" s="2">
        <v>240</v>
      </c>
      <c r="C241" s="4">
        <v>46021</v>
      </c>
      <c r="D241" s="3" t="s">
        <v>12</v>
      </c>
      <c r="E241" s="3" t="s">
        <v>14</v>
      </c>
      <c r="F241" s="3" t="s">
        <v>27</v>
      </c>
      <c r="G241" s="3" t="s">
        <v>32</v>
      </c>
      <c r="H241" s="2">
        <v>20</v>
      </c>
      <c r="I241" s="2">
        <v>1</v>
      </c>
      <c r="J241" s="2">
        <v>1</v>
      </c>
      <c r="K241" s="2" t="str">
        <f t="shared" si="10"/>
        <v>2º Semestre</v>
      </c>
      <c r="L241" s="2" t="str">
        <f t="shared" si="12"/>
        <v>T4</v>
      </c>
      <c r="M241" s="2" t="str">
        <f t="shared" si="9"/>
        <v>dez</v>
      </c>
      <c r="N241" s="2">
        <v>12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32A4-F55B-43E2-B95A-468BFC2E149B}">
  <dimension ref="B1:R36"/>
  <sheetViews>
    <sheetView topLeftCell="B1" zoomScale="77" workbookViewId="0">
      <selection activeCell="AA10" sqref="AA10"/>
    </sheetView>
  </sheetViews>
  <sheetFormatPr defaultRowHeight="14.4" x14ac:dyDescent="0.3"/>
  <cols>
    <col min="1" max="1" width="0" hidden="1" customWidth="1"/>
    <col min="2" max="2" width="17.5546875" bestFit="1" customWidth="1"/>
    <col min="3" max="3" width="15.6640625" bestFit="1" customWidth="1"/>
    <col min="4" max="4" width="2.77734375" customWidth="1"/>
    <col min="5" max="5" width="10.77734375" bestFit="1" customWidth="1"/>
    <col min="6" max="6" width="19.44140625" bestFit="1" customWidth="1"/>
    <col min="7" max="7" width="2.6640625" customWidth="1"/>
    <col min="8" max="8" width="33.33203125" bestFit="1" customWidth="1"/>
    <col min="9" max="9" width="19.44140625" bestFit="1" customWidth="1"/>
    <col min="10" max="10" width="7.5546875" bestFit="1" customWidth="1"/>
    <col min="11" max="11" width="11.21875" bestFit="1" customWidth="1"/>
    <col min="12" max="12" width="19.44140625" bestFit="1" customWidth="1"/>
    <col min="13" max="13" width="8.6640625" bestFit="1" customWidth="1"/>
    <col min="14" max="14" width="17.5546875" bestFit="1" customWidth="1"/>
    <col min="15" max="15" width="14.21875" bestFit="1" customWidth="1"/>
    <col min="17" max="17" width="17.5546875" bestFit="1" customWidth="1"/>
    <col min="18" max="18" width="16.21875" bestFit="1" customWidth="1"/>
  </cols>
  <sheetData>
    <row r="1" spans="2:18" x14ac:dyDescent="0.3">
      <c r="B1" s="17" t="s">
        <v>96</v>
      </c>
      <c r="C1" s="17"/>
      <c r="E1" s="16" t="s">
        <v>97</v>
      </c>
      <c r="F1" s="16"/>
      <c r="H1" s="16" t="s">
        <v>98</v>
      </c>
      <c r="I1" s="16"/>
      <c r="K1" s="16" t="s">
        <v>101</v>
      </c>
      <c r="L1" s="16"/>
      <c r="N1" s="16" t="s">
        <v>102</v>
      </c>
      <c r="O1" s="16"/>
      <c r="Q1" s="6" t="s">
        <v>93</v>
      </c>
      <c r="R1" t="s">
        <v>113</v>
      </c>
    </row>
    <row r="2" spans="2:18" x14ac:dyDescent="0.3">
      <c r="B2" s="6" t="s">
        <v>93</v>
      </c>
      <c r="C2" t="s">
        <v>95</v>
      </c>
      <c r="E2" s="9" t="s">
        <v>99</v>
      </c>
      <c r="F2" s="10" t="s">
        <v>104</v>
      </c>
      <c r="H2" s="9" t="s">
        <v>100</v>
      </c>
      <c r="I2" s="10" t="s">
        <v>104</v>
      </c>
      <c r="K2" s="9" t="s">
        <v>3</v>
      </c>
      <c r="L2" s="10" t="s">
        <v>104</v>
      </c>
      <c r="N2" s="9" t="s">
        <v>93</v>
      </c>
      <c r="O2" s="10" t="s">
        <v>104</v>
      </c>
      <c r="Q2" s="7" t="s">
        <v>109</v>
      </c>
      <c r="R2" s="8">
        <v>60</v>
      </c>
    </row>
    <row r="3" spans="2:18" x14ac:dyDescent="0.3">
      <c r="B3" s="7" t="s">
        <v>114</v>
      </c>
      <c r="C3" s="8">
        <v>110</v>
      </c>
      <c r="E3" s="11" t="s">
        <v>9</v>
      </c>
      <c r="F3" s="12">
        <v>84</v>
      </c>
      <c r="H3" s="11" t="s">
        <v>28</v>
      </c>
      <c r="I3" s="12">
        <v>27</v>
      </c>
      <c r="K3" s="11" t="s">
        <v>14</v>
      </c>
      <c r="L3" s="12">
        <v>44</v>
      </c>
      <c r="N3" s="11" t="s">
        <v>32</v>
      </c>
      <c r="O3" s="12">
        <v>98</v>
      </c>
      <c r="Q3" s="7" t="s">
        <v>110</v>
      </c>
      <c r="R3" s="8">
        <v>60</v>
      </c>
    </row>
    <row r="4" spans="2:18" x14ac:dyDescent="0.3">
      <c r="B4" s="7" t="s">
        <v>115</v>
      </c>
      <c r="C4" s="8">
        <v>83</v>
      </c>
      <c r="E4" s="11" t="s">
        <v>12</v>
      </c>
      <c r="F4" s="12">
        <v>44</v>
      </c>
      <c r="H4" s="11" t="s">
        <v>24</v>
      </c>
      <c r="I4" s="12">
        <v>25</v>
      </c>
      <c r="K4" s="11" t="s">
        <v>16</v>
      </c>
      <c r="L4" s="12">
        <v>41</v>
      </c>
      <c r="N4" s="11" t="s">
        <v>33</v>
      </c>
      <c r="O4" s="12">
        <v>87</v>
      </c>
      <c r="Q4" s="7" t="s">
        <v>111</v>
      </c>
      <c r="R4" s="8">
        <v>60</v>
      </c>
    </row>
    <row r="5" spans="2:18" x14ac:dyDescent="0.3">
      <c r="B5" s="7" t="s">
        <v>116</v>
      </c>
      <c r="C5" s="8">
        <v>109</v>
      </c>
      <c r="E5" s="11" t="s">
        <v>11</v>
      </c>
      <c r="F5" s="12">
        <v>39</v>
      </c>
      <c r="H5" s="11" t="s">
        <v>22</v>
      </c>
      <c r="I5" s="12">
        <v>23</v>
      </c>
      <c r="K5" s="11" t="s">
        <v>17</v>
      </c>
      <c r="L5" s="12">
        <v>35</v>
      </c>
      <c r="N5" s="11" t="s">
        <v>34</v>
      </c>
      <c r="O5" s="12">
        <v>43</v>
      </c>
      <c r="Q5" s="7" t="s">
        <v>112</v>
      </c>
      <c r="R5" s="8">
        <v>60</v>
      </c>
    </row>
    <row r="6" spans="2:18" x14ac:dyDescent="0.3">
      <c r="B6" s="7" t="s">
        <v>117</v>
      </c>
      <c r="C6" s="8">
        <v>80</v>
      </c>
      <c r="E6" s="11" t="s">
        <v>10</v>
      </c>
      <c r="F6" s="12">
        <v>39</v>
      </c>
      <c r="H6" s="11" t="s">
        <v>25</v>
      </c>
      <c r="I6" s="12">
        <v>23</v>
      </c>
      <c r="K6" s="11" t="s">
        <v>15</v>
      </c>
      <c r="L6" s="12">
        <v>30</v>
      </c>
      <c r="N6" s="11" t="s">
        <v>35</v>
      </c>
      <c r="O6" s="12">
        <v>12</v>
      </c>
      <c r="Q6" s="7" t="s">
        <v>94</v>
      </c>
      <c r="R6" s="8">
        <v>240</v>
      </c>
    </row>
    <row r="7" spans="2:18" x14ac:dyDescent="0.3">
      <c r="B7" s="7" t="s">
        <v>118</v>
      </c>
      <c r="C7" s="8">
        <v>76</v>
      </c>
      <c r="E7" s="11" t="s">
        <v>13</v>
      </c>
      <c r="F7" s="12">
        <v>34</v>
      </c>
      <c r="H7" s="11" t="s">
        <v>27</v>
      </c>
      <c r="I7" s="12">
        <v>21</v>
      </c>
      <c r="K7" s="11" t="s">
        <v>19</v>
      </c>
      <c r="L7" s="12">
        <v>27</v>
      </c>
      <c r="N7" s="11" t="s">
        <v>94</v>
      </c>
      <c r="O7" s="12">
        <v>240</v>
      </c>
    </row>
    <row r="8" spans="2:18" x14ac:dyDescent="0.3">
      <c r="B8" s="7" t="s">
        <v>119</v>
      </c>
      <c r="C8" s="8">
        <v>62</v>
      </c>
      <c r="E8" s="11" t="s">
        <v>94</v>
      </c>
      <c r="F8" s="12">
        <v>240</v>
      </c>
      <c r="H8" s="11" t="s">
        <v>23</v>
      </c>
      <c r="I8" s="12">
        <v>17</v>
      </c>
      <c r="K8" s="11" t="s">
        <v>18</v>
      </c>
      <c r="L8" s="12">
        <v>24</v>
      </c>
    </row>
    <row r="9" spans="2:18" x14ac:dyDescent="0.3">
      <c r="B9" s="7" t="s">
        <v>120</v>
      </c>
      <c r="C9" s="8">
        <v>66</v>
      </c>
      <c r="H9" s="11" t="s">
        <v>36</v>
      </c>
      <c r="I9" s="12">
        <v>16</v>
      </c>
      <c r="K9" s="11" t="s">
        <v>21</v>
      </c>
      <c r="L9" s="12">
        <v>14</v>
      </c>
      <c r="N9" s="15" t="s">
        <v>105</v>
      </c>
      <c r="O9" s="15"/>
    </row>
    <row r="10" spans="2:18" x14ac:dyDescent="0.3">
      <c r="B10" s="7" t="s">
        <v>121</v>
      </c>
      <c r="C10" s="8">
        <v>79</v>
      </c>
      <c r="H10" s="11" t="s">
        <v>30</v>
      </c>
      <c r="I10" s="12">
        <v>14</v>
      </c>
      <c r="K10" s="11" t="s">
        <v>37</v>
      </c>
      <c r="L10" s="12">
        <v>13</v>
      </c>
      <c r="N10" s="6" t="s">
        <v>93</v>
      </c>
      <c r="O10" t="s">
        <v>103</v>
      </c>
    </row>
    <row r="11" spans="2:18" x14ac:dyDescent="0.3">
      <c r="B11" s="7" t="s">
        <v>122</v>
      </c>
      <c r="C11" s="8">
        <v>67</v>
      </c>
      <c r="H11" s="11" t="s">
        <v>38</v>
      </c>
      <c r="I11" s="12">
        <v>13</v>
      </c>
      <c r="K11" s="11" t="s">
        <v>20</v>
      </c>
      <c r="L11" s="12">
        <v>12</v>
      </c>
      <c r="N11" s="7">
        <v>0</v>
      </c>
      <c r="O11" s="8">
        <v>9</v>
      </c>
    </row>
    <row r="12" spans="2:18" x14ac:dyDescent="0.3">
      <c r="B12" s="7" t="s">
        <v>123</v>
      </c>
      <c r="C12" s="8">
        <v>59</v>
      </c>
      <c r="H12" s="11" t="s">
        <v>40</v>
      </c>
      <c r="I12" s="12">
        <v>13</v>
      </c>
      <c r="K12" s="11" t="s">
        <v>94</v>
      </c>
      <c r="L12" s="12">
        <v>240</v>
      </c>
      <c r="N12" s="7">
        <v>1</v>
      </c>
      <c r="O12" s="8">
        <v>130</v>
      </c>
    </row>
    <row r="13" spans="2:18" x14ac:dyDescent="0.3">
      <c r="B13" s="7" t="s">
        <v>124</v>
      </c>
      <c r="C13" s="8">
        <v>49</v>
      </c>
      <c r="H13" s="11" t="s">
        <v>26</v>
      </c>
      <c r="I13" s="12">
        <v>13</v>
      </c>
      <c r="N13" s="7">
        <v>2</v>
      </c>
      <c r="O13" s="8">
        <v>62</v>
      </c>
    </row>
    <row r="14" spans="2:18" x14ac:dyDescent="0.3">
      <c r="B14" s="7" t="s">
        <v>125</v>
      </c>
      <c r="C14" s="8">
        <v>41</v>
      </c>
      <c r="H14" s="11" t="s">
        <v>29</v>
      </c>
      <c r="I14" s="12">
        <v>12</v>
      </c>
      <c r="N14" s="7">
        <v>3</v>
      </c>
      <c r="O14" s="8">
        <v>24</v>
      </c>
    </row>
    <row r="15" spans="2:18" x14ac:dyDescent="0.3">
      <c r="B15" s="7" t="s">
        <v>94</v>
      </c>
      <c r="C15" s="8">
        <v>881</v>
      </c>
      <c r="H15" s="11" t="s">
        <v>39</v>
      </c>
      <c r="I15" s="12">
        <v>12</v>
      </c>
      <c r="N15" s="7">
        <v>4</v>
      </c>
      <c r="O15" s="8">
        <v>9</v>
      </c>
    </row>
    <row r="16" spans="2:18" x14ac:dyDescent="0.3">
      <c r="H16" s="11" t="s">
        <v>31</v>
      </c>
      <c r="I16" s="12">
        <v>11</v>
      </c>
      <c r="N16" s="7">
        <v>5</v>
      </c>
      <c r="O16" s="8">
        <v>4</v>
      </c>
    </row>
    <row r="17" spans="8:15" x14ac:dyDescent="0.3">
      <c r="H17" s="11" t="s">
        <v>94</v>
      </c>
      <c r="I17" s="12">
        <v>240</v>
      </c>
      <c r="N17" s="7">
        <v>6</v>
      </c>
      <c r="O17" s="8">
        <v>1</v>
      </c>
    </row>
    <row r="18" spans="8:15" x14ac:dyDescent="0.3">
      <c r="N18" s="7">
        <v>7</v>
      </c>
      <c r="O18" s="8">
        <v>1</v>
      </c>
    </row>
    <row r="19" spans="8:15" x14ac:dyDescent="0.3">
      <c r="N19" s="7" t="s">
        <v>94</v>
      </c>
      <c r="O19" s="8">
        <v>240</v>
      </c>
    </row>
    <row r="21" spans="8:15" x14ac:dyDescent="0.3">
      <c r="H21" s="14" t="s">
        <v>4</v>
      </c>
      <c r="I21" s="14" t="s">
        <v>106</v>
      </c>
      <c r="J21" s="14" t="s">
        <v>107</v>
      </c>
      <c r="K21" s="14" t="s">
        <v>108</v>
      </c>
      <c r="M21" s="8"/>
    </row>
    <row r="22" spans="8:15" x14ac:dyDescent="0.3">
      <c r="H22" s="10" t="str">
        <f>Auxiliar!H3</f>
        <v>Falha na central multimídia</v>
      </c>
      <c r="I22" s="10">
        <f>Auxiliar!I3</f>
        <v>27</v>
      </c>
      <c r="J22" s="13">
        <f>I22/$I$36</f>
        <v>0.1125</v>
      </c>
      <c r="K22" s="13">
        <f>J22</f>
        <v>0.1125</v>
      </c>
      <c r="L22" s="8"/>
      <c r="M22" s="8"/>
    </row>
    <row r="23" spans="8:15" x14ac:dyDescent="0.3">
      <c r="H23" s="10" t="str">
        <f>Auxiliar!H4</f>
        <v>Falha na pintura</v>
      </c>
      <c r="I23" s="10">
        <f>Auxiliar!I4</f>
        <v>25</v>
      </c>
      <c r="J23" s="13">
        <f t="shared" ref="J23:J35" si="0">I23/$I$36</f>
        <v>0.10416666666666667</v>
      </c>
      <c r="K23" s="13">
        <f>K22+J23</f>
        <v>0.21666666666666667</v>
      </c>
      <c r="L23" s="8"/>
      <c r="M23" s="8"/>
    </row>
    <row r="24" spans="8:15" x14ac:dyDescent="0.3">
      <c r="H24" s="10" t="str">
        <f>Auxiliar!H5</f>
        <v>Torque fora da especificação</v>
      </c>
      <c r="I24" s="10">
        <f>Auxiliar!I5</f>
        <v>23</v>
      </c>
      <c r="J24" s="13">
        <f t="shared" si="0"/>
        <v>9.583333333333334E-2</v>
      </c>
      <c r="K24" s="13">
        <f t="shared" ref="K24:K35" si="1">K23+J24</f>
        <v>0.3125</v>
      </c>
      <c r="L24" s="8"/>
      <c r="M24" s="8"/>
    </row>
    <row r="25" spans="8:15" x14ac:dyDescent="0.3">
      <c r="H25" s="10" t="str">
        <f>Auxiliar!H6</f>
        <v>Ruído interno</v>
      </c>
      <c r="I25" s="10">
        <f>Auxiliar!I6</f>
        <v>23</v>
      </c>
      <c r="J25" s="13">
        <f t="shared" si="0"/>
        <v>9.583333333333334E-2</v>
      </c>
      <c r="K25" s="13">
        <f t="shared" si="1"/>
        <v>0.40833333333333333</v>
      </c>
      <c r="L25" s="8"/>
      <c r="M25" s="8"/>
    </row>
    <row r="26" spans="8:15" x14ac:dyDescent="0.3">
      <c r="H26" s="10" t="str">
        <f>Auxiliar!H7</f>
        <v>Parafuso ausente</v>
      </c>
      <c r="I26" s="10">
        <f>Auxiliar!I7</f>
        <v>21</v>
      </c>
      <c r="J26" s="13">
        <f t="shared" si="0"/>
        <v>8.7499999999999994E-2</v>
      </c>
      <c r="K26" s="13">
        <f t="shared" si="1"/>
        <v>0.49583333333333335</v>
      </c>
      <c r="L26" s="8"/>
      <c r="M26" s="8"/>
    </row>
    <row r="27" spans="8:15" x14ac:dyDescent="0.3">
      <c r="H27" s="10" t="str">
        <f>Auxiliar!H8</f>
        <v>Falha no sensor ABS</v>
      </c>
      <c r="I27" s="10">
        <f>Auxiliar!I8</f>
        <v>17</v>
      </c>
      <c r="J27" s="13">
        <f t="shared" si="0"/>
        <v>7.0833333333333331E-2</v>
      </c>
      <c r="K27" s="13">
        <f t="shared" si="1"/>
        <v>0.56666666666666665</v>
      </c>
      <c r="L27" s="8"/>
      <c r="M27" s="8"/>
    </row>
    <row r="28" spans="8:15" x14ac:dyDescent="0.3">
      <c r="H28" s="10" t="str">
        <f>Auxiliar!H9</f>
        <v>Risco na carroceria</v>
      </c>
      <c r="I28" s="10">
        <f>Auxiliar!I9</f>
        <v>16</v>
      </c>
      <c r="J28" s="13">
        <f t="shared" si="0"/>
        <v>6.6666666666666666E-2</v>
      </c>
      <c r="K28" s="13">
        <f t="shared" si="1"/>
        <v>0.6333333333333333</v>
      </c>
      <c r="L28" s="8"/>
      <c r="M28" s="8"/>
    </row>
    <row r="29" spans="8:15" x14ac:dyDescent="0.3">
      <c r="H29" s="10" t="str">
        <f>Auxiliar!H10</f>
        <v>Desalinhamento das portas</v>
      </c>
      <c r="I29" s="10">
        <f>Auxiliar!I10</f>
        <v>14</v>
      </c>
      <c r="J29" s="13">
        <f t="shared" si="0"/>
        <v>5.8333333333333334E-2</v>
      </c>
      <c r="K29" s="13">
        <f t="shared" si="1"/>
        <v>0.69166666666666665</v>
      </c>
      <c r="L29" s="8"/>
      <c r="M29" s="8"/>
    </row>
    <row r="30" spans="8:15" x14ac:dyDescent="0.3">
      <c r="H30" s="10" t="str">
        <f>Auxiliar!H11</f>
        <v>Ruído na suspensão</v>
      </c>
      <c r="I30" s="10">
        <f>Auxiliar!I11</f>
        <v>13</v>
      </c>
      <c r="J30" s="13">
        <f t="shared" si="0"/>
        <v>5.4166666666666669E-2</v>
      </c>
      <c r="K30" s="13">
        <f t="shared" si="1"/>
        <v>0.74583333333333335</v>
      </c>
      <c r="L30" s="8"/>
      <c r="M30" s="8"/>
    </row>
    <row r="31" spans="8:15" x14ac:dyDescent="0.3">
      <c r="H31" s="10" t="str">
        <f>Auxiliar!H12</f>
        <v>Falha no chicote elétrico</v>
      </c>
      <c r="I31" s="10">
        <f>Auxiliar!I12</f>
        <v>13</v>
      </c>
      <c r="J31" s="13">
        <f t="shared" si="0"/>
        <v>5.4166666666666669E-2</v>
      </c>
      <c r="K31" s="13">
        <f t="shared" si="1"/>
        <v>0.8</v>
      </c>
      <c r="L31" s="8"/>
      <c r="M31" s="8"/>
    </row>
    <row r="32" spans="8:15" x14ac:dyDescent="0.3">
      <c r="H32" s="10" t="str">
        <f>Auxiliar!H13</f>
        <v>Vazamento de óleo</v>
      </c>
      <c r="I32" s="10">
        <f>Auxiliar!I13</f>
        <v>13</v>
      </c>
      <c r="J32" s="13">
        <f t="shared" si="0"/>
        <v>5.4166666666666669E-2</v>
      </c>
      <c r="K32" s="13">
        <f t="shared" si="1"/>
        <v>0.85416666666666674</v>
      </c>
      <c r="L32" s="8"/>
      <c r="M32" s="8"/>
    </row>
    <row r="33" spans="8:13" x14ac:dyDescent="0.3">
      <c r="H33" s="10" t="str">
        <f>Auxiliar!H14</f>
        <v>Airbag com falha de comunicação</v>
      </c>
      <c r="I33" s="10">
        <f>Auxiliar!I14</f>
        <v>12</v>
      </c>
      <c r="J33" s="13">
        <f t="shared" si="0"/>
        <v>0.05</v>
      </c>
      <c r="K33" s="13">
        <f t="shared" si="1"/>
        <v>0.90416666666666679</v>
      </c>
      <c r="L33" s="8"/>
      <c r="M33" s="8"/>
    </row>
    <row r="34" spans="8:13" x14ac:dyDescent="0.3">
      <c r="H34" s="10" t="str">
        <f>Auxiliar!H15</f>
        <v>Falha na vedação</v>
      </c>
      <c r="I34" s="10">
        <f>Auxiliar!I15</f>
        <v>12</v>
      </c>
      <c r="J34" s="13">
        <f t="shared" si="0"/>
        <v>0.05</v>
      </c>
      <c r="K34" s="13">
        <f t="shared" si="1"/>
        <v>0.95416666666666683</v>
      </c>
      <c r="L34" s="8"/>
      <c r="M34" s="8"/>
    </row>
    <row r="35" spans="8:13" x14ac:dyDescent="0.3">
      <c r="H35" s="10" t="str">
        <f>Auxiliar!H16</f>
        <v>Vazamento de líquido de arrefecimento</v>
      </c>
      <c r="I35" s="10">
        <f>Auxiliar!I16</f>
        <v>11</v>
      </c>
      <c r="J35" s="13">
        <f t="shared" si="0"/>
        <v>4.583333333333333E-2</v>
      </c>
      <c r="K35" s="13">
        <f t="shared" si="1"/>
        <v>1.0000000000000002</v>
      </c>
      <c r="L35" s="8"/>
      <c r="M35" s="8"/>
    </row>
    <row r="36" spans="8:13" x14ac:dyDescent="0.3">
      <c r="I36">
        <f>SUM(I22:I35)</f>
        <v>240</v>
      </c>
    </row>
  </sheetData>
  <mergeCells count="6">
    <mergeCell ref="B1:C1"/>
    <mergeCell ref="N9:O9"/>
    <mergeCell ref="E1:F1"/>
    <mergeCell ref="H1:I1"/>
    <mergeCell ref="K1:L1"/>
    <mergeCell ref="N1:O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0412-9152-4F9A-B4EC-D8D41E65B80F}">
  <dimension ref="A1"/>
  <sheetViews>
    <sheetView tabSelected="1" zoomScaleNormal="100" workbookViewId="0">
      <selection activeCell="Y16" sqref="Y1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Auxiliar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WELLISON BRAZ DA SILVA</dc:creator>
  <cp:lastModifiedBy>WELLISON BRAZ DA SILVA</cp:lastModifiedBy>
  <dcterms:created xsi:type="dcterms:W3CDTF">2026-07-07T11:08:50Z</dcterms:created>
  <dcterms:modified xsi:type="dcterms:W3CDTF">2026-07-08T18:33:17Z</dcterms:modified>
</cp:coreProperties>
</file>
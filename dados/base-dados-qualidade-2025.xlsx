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SIN\Desktop\Projetos Pessoais\dados\"/>
    </mc:Choice>
  </mc:AlternateContent>
  <xr:revisionPtr revIDLastSave="0" documentId="8_{54E781D4-9BD9-4E3E-89E8-2DBD5103F83F}" xr6:coauthVersionLast="47" xr6:coauthVersionMax="47" xr10:uidLastSave="{00000000-0000-0000-0000-000000000000}"/>
  <bookViews>
    <workbookView xWindow="-108" yWindow="-108" windowWidth="23256" windowHeight="12456" xr2:uid="{F449FAA6-1796-4098-8735-65DB73C608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41" i="1" l="1"/>
  <c r="K241" i="1" s="1"/>
  <c r="L241" i="1"/>
  <c r="M240" i="1"/>
  <c r="K240" i="1" s="1"/>
  <c r="L240" i="1"/>
  <c r="M239" i="1"/>
  <c r="K239" i="1" s="1"/>
  <c r="L239" i="1"/>
  <c r="M238" i="1"/>
  <c r="K238" i="1" s="1"/>
  <c r="L238" i="1"/>
  <c r="M237" i="1"/>
  <c r="K237" i="1" s="1"/>
  <c r="L237" i="1"/>
  <c r="M236" i="1"/>
  <c r="L236" i="1"/>
  <c r="K236" i="1"/>
  <c r="M235" i="1"/>
  <c r="L235" i="1"/>
  <c r="K235" i="1"/>
  <c r="M234" i="1"/>
  <c r="L234" i="1"/>
  <c r="K234" i="1"/>
  <c r="M233" i="1"/>
  <c r="L233" i="1"/>
  <c r="K233" i="1"/>
  <c r="M232" i="1"/>
  <c r="L232" i="1"/>
  <c r="K232" i="1"/>
  <c r="M231" i="1"/>
  <c r="L231" i="1"/>
  <c r="K231" i="1"/>
  <c r="M230" i="1"/>
  <c r="K230" i="1" s="1"/>
  <c r="L230" i="1"/>
  <c r="M229" i="1"/>
  <c r="K229" i="1" s="1"/>
  <c r="L229" i="1"/>
  <c r="M228" i="1"/>
  <c r="K228" i="1" s="1"/>
  <c r="L228" i="1"/>
  <c r="M227" i="1"/>
  <c r="K227" i="1" s="1"/>
  <c r="L227" i="1"/>
  <c r="M226" i="1"/>
  <c r="K226" i="1" s="1"/>
  <c r="L226" i="1"/>
  <c r="M225" i="1"/>
  <c r="K225" i="1" s="1"/>
  <c r="L225" i="1"/>
  <c r="M224" i="1"/>
  <c r="K224" i="1" s="1"/>
  <c r="L224" i="1"/>
  <c r="M223" i="1"/>
  <c r="L223" i="1"/>
  <c r="K223" i="1"/>
  <c r="M222" i="1"/>
  <c r="L222" i="1"/>
  <c r="K222" i="1"/>
  <c r="M221" i="1"/>
  <c r="K221" i="1" s="1"/>
  <c r="L221" i="1"/>
  <c r="M220" i="1"/>
  <c r="L220" i="1"/>
  <c r="K220" i="1"/>
  <c r="M219" i="1"/>
  <c r="L219" i="1"/>
  <c r="K219" i="1"/>
  <c r="M218" i="1"/>
  <c r="L218" i="1"/>
  <c r="K218" i="1"/>
  <c r="M217" i="1"/>
  <c r="L217" i="1"/>
  <c r="K217" i="1"/>
  <c r="M216" i="1"/>
  <c r="L216" i="1"/>
  <c r="K216" i="1"/>
  <c r="M215" i="1"/>
  <c r="L215" i="1"/>
  <c r="K215" i="1"/>
  <c r="M214" i="1"/>
  <c r="K214" i="1" s="1"/>
  <c r="L214" i="1"/>
  <c r="M213" i="1"/>
  <c r="K213" i="1" s="1"/>
  <c r="L213" i="1"/>
  <c r="M212" i="1"/>
  <c r="K212" i="1" s="1"/>
  <c r="L212" i="1"/>
  <c r="M211" i="1"/>
  <c r="K211" i="1" s="1"/>
  <c r="L211" i="1"/>
  <c r="M210" i="1"/>
  <c r="K210" i="1" s="1"/>
  <c r="L210" i="1"/>
  <c r="M209" i="1"/>
  <c r="K209" i="1" s="1"/>
  <c r="L209" i="1"/>
  <c r="M208" i="1"/>
  <c r="K208" i="1" s="1"/>
  <c r="L208" i="1"/>
  <c r="M207" i="1"/>
  <c r="L207" i="1"/>
  <c r="K207" i="1"/>
  <c r="M206" i="1"/>
  <c r="L206" i="1"/>
  <c r="K206" i="1"/>
  <c r="M205" i="1"/>
  <c r="K205" i="1" s="1"/>
  <c r="L205" i="1"/>
  <c r="M204" i="1"/>
  <c r="L204" i="1"/>
  <c r="K204" i="1"/>
  <c r="M203" i="1"/>
  <c r="L203" i="1"/>
  <c r="K203" i="1"/>
  <c r="M202" i="1"/>
  <c r="L202" i="1"/>
  <c r="K202" i="1"/>
  <c r="M201" i="1"/>
  <c r="L201" i="1"/>
  <c r="K201" i="1"/>
  <c r="M200" i="1"/>
  <c r="L200" i="1"/>
  <c r="K200" i="1"/>
  <c r="M199" i="1"/>
  <c r="L199" i="1"/>
  <c r="K199" i="1"/>
  <c r="M198" i="1"/>
  <c r="K198" i="1" s="1"/>
  <c r="L198" i="1"/>
  <c r="M197" i="1"/>
  <c r="K197" i="1" s="1"/>
  <c r="L197" i="1"/>
  <c r="M196" i="1"/>
  <c r="K196" i="1" s="1"/>
  <c r="L196" i="1"/>
  <c r="M195" i="1"/>
  <c r="K195" i="1" s="1"/>
  <c r="L195" i="1"/>
  <c r="M194" i="1"/>
  <c r="K194" i="1" s="1"/>
  <c r="L194" i="1"/>
  <c r="M193" i="1"/>
  <c r="K193" i="1" s="1"/>
  <c r="L193" i="1"/>
  <c r="M192" i="1"/>
  <c r="K192" i="1" s="1"/>
  <c r="L192" i="1"/>
  <c r="M191" i="1"/>
  <c r="L191" i="1"/>
  <c r="K191" i="1"/>
  <c r="M190" i="1"/>
  <c r="L190" i="1"/>
  <c r="K190" i="1"/>
  <c r="M189" i="1"/>
  <c r="K189" i="1" s="1"/>
  <c r="L189" i="1"/>
  <c r="M188" i="1"/>
  <c r="L188" i="1"/>
  <c r="K188" i="1"/>
  <c r="M187" i="1"/>
  <c r="L187" i="1"/>
  <c r="K187" i="1"/>
  <c r="M186" i="1"/>
  <c r="L186" i="1"/>
  <c r="K186" i="1"/>
  <c r="M185" i="1"/>
  <c r="L185" i="1"/>
  <c r="K185" i="1"/>
  <c r="M184" i="1"/>
  <c r="L184" i="1"/>
  <c r="K184" i="1"/>
  <c r="M183" i="1"/>
  <c r="L183" i="1"/>
  <c r="K183" i="1"/>
  <c r="M182" i="1"/>
  <c r="K182" i="1" s="1"/>
  <c r="L182" i="1"/>
  <c r="M181" i="1"/>
  <c r="K181" i="1" s="1"/>
  <c r="L181" i="1"/>
  <c r="M180" i="1"/>
  <c r="K180" i="1" s="1"/>
  <c r="L180" i="1"/>
  <c r="M179" i="1"/>
  <c r="K179" i="1" s="1"/>
  <c r="L179" i="1"/>
  <c r="M178" i="1"/>
  <c r="K178" i="1" s="1"/>
  <c r="L178" i="1"/>
  <c r="M177" i="1"/>
  <c r="K177" i="1" s="1"/>
  <c r="L177" i="1"/>
  <c r="M176" i="1"/>
  <c r="K176" i="1" s="1"/>
  <c r="L176" i="1"/>
  <c r="M175" i="1"/>
  <c r="L175" i="1"/>
  <c r="K175" i="1"/>
  <c r="M174" i="1"/>
  <c r="L174" i="1"/>
  <c r="K174" i="1"/>
  <c r="M173" i="1"/>
  <c r="K173" i="1" s="1"/>
  <c r="L173" i="1"/>
  <c r="M172" i="1"/>
  <c r="L172" i="1"/>
  <c r="K172" i="1"/>
  <c r="M171" i="1"/>
  <c r="L171" i="1"/>
  <c r="K171" i="1"/>
  <c r="M170" i="1"/>
  <c r="L170" i="1"/>
  <c r="K170" i="1"/>
  <c r="M169" i="1"/>
  <c r="L169" i="1"/>
  <c r="K169" i="1"/>
  <c r="M168" i="1"/>
  <c r="L168" i="1"/>
  <c r="K168" i="1"/>
  <c r="M167" i="1"/>
  <c r="L167" i="1"/>
  <c r="K167" i="1"/>
  <c r="M166" i="1"/>
  <c r="K166" i="1" s="1"/>
  <c r="L166" i="1"/>
  <c r="M165" i="1"/>
  <c r="K165" i="1" s="1"/>
  <c r="L165" i="1"/>
  <c r="M164" i="1"/>
  <c r="K164" i="1" s="1"/>
  <c r="L164" i="1"/>
  <c r="M163" i="1"/>
  <c r="K163" i="1" s="1"/>
  <c r="L163" i="1"/>
  <c r="M162" i="1"/>
  <c r="K162" i="1" s="1"/>
  <c r="L162" i="1"/>
  <c r="M161" i="1"/>
  <c r="K161" i="1" s="1"/>
  <c r="L161" i="1"/>
  <c r="M160" i="1"/>
  <c r="K160" i="1" s="1"/>
  <c r="L160" i="1"/>
  <c r="M159" i="1"/>
  <c r="L159" i="1"/>
  <c r="K159" i="1"/>
  <c r="M158" i="1"/>
  <c r="L158" i="1"/>
  <c r="K158" i="1"/>
  <c r="M157" i="1"/>
  <c r="K157" i="1" s="1"/>
  <c r="L157" i="1"/>
  <c r="M156" i="1"/>
  <c r="L156" i="1"/>
  <c r="K156" i="1"/>
  <c r="M155" i="1"/>
  <c r="L155" i="1"/>
  <c r="K155" i="1"/>
  <c r="M154" i="1"/>
  <c r="L154" i="1"/>
  <c r="K154" i="1"/>
  <c r="M153" i="1"/>
  <c r="L153" i="1"/>
  <c r="K153" i="1"/>
  <c r="M152" i="1"/>
  <c r="L152" i="1"/>
  <c r="K152" i="1"/>
  <c r="M151" i="1"/>
  <c r="L151" i="1"/>
  <c r="K151" i="1"/>
  <c r="M150" i="1"/>
  <c r="K150" i="1" s="1"/>
  <c r="L150" i="1"/>
  <c r="M149" i="1"/>
  <c r="K149" i="1" s="1"/>
  <c r="L149" i="1"/>
  <c r="M148" i="1"/>
  <c r="K148" i="1" s="1"/>
  <c r="L148" i="1"/>
  <c r="M147" i="1"/>
  <c r="K147" i="1" s="1"/>
  <c r="L147" i="1"/>
  <c r="M146" i="1"/>
  <c r="K146" i="1" s="1"/>
  <c r="L146" i="1"/>
  <c r="M145" i="1"/>
  <c r="K145" i="1" s="1"/>
  <c r="L145" i="1"/>
  <c r="M144" i="1"/>
  <c r="K144" i="1" s="1"/>
  <c r="L144" i="1"/>
  <c r="M143" i="1"/>
  <c r="L143" i="1"/>
  <c r="K143" i="1"/>
  <c r="M142" i="1"/>
  <c r="L142" i="1"/>
  <c r="K142" i="1"/>
  <c r="M141" i="1"/>
  <c r="K141" i="1" s="1"/>
  <c r="L141" i="1"/>
  <c r="M140" i="1"/>
  <c r="L140" i="1"/>
  <c r="K140" i="1"/>
  <c r="M139" i="1"/>
  <c r="L139" i="1"/>
  <c r="K139" i="1"/>
  <c r="M138" i="1"/>
  <c r="L138" i="1"/>
  <c r="K138" i="1"/>
  <c r="M137" i="1"/>
  <c r="L137" i="1"/>
  <c r="K137" i="1"/>
  <c r="M136" i="1"/>
  <c r="L136" i="1"/>
  <c r="K136" i="1"/>
  <c r="M135" i="1"/>
  <c r="L135" i="1"/>
  <c r="K135" i="1"/>
  <c r="M134" i="1"/>
  <c r="K134" i="1" s="1"/>
  <c r="L134" i="1"/>
  <c r="M133" i="1"/>
  <c r="K133" i="1" s="1"/>
  <c r="L133" i="1"/>
  <c r="M132" i="1"/>
  <c r="K132" i="1" s="1"/>
  <c r="L132" i="1"/>
  <c r="M131" i="1"/>
  <c r="K131" i="1" s="1"/>
  <c r="L131" i="1"/>
  <c r="M130" i="1"/>
  <c r="K130" i="1" s="1"/>
  <c r="L130" i="1"/>
  <c r="M129" i="1"/>
  <c r="K129" i="1" s="1"/>
  <c r="L129" i="1"/>
  <c r="M128" i="1"/>
  <c r="K128" i="1" s="1"/>
  <c r="L128" i="1"/>
  <c r="M127" i="1"/>
  <c r="L127" i="1"/>
  <c r="K127" i="1"/>
  <c r="M126" i="1"/>
  <c r="L126" i="1"/>
  <c r="K126" i="1"/>
  <c r="M125" i="1"/>
  <c r="K125" i="1" s="1"/>
  <c r="L125" i="1"/>
  <c r="M124" i="1"/>
  <c r="L124" i="1"/>
  <c r="K124" i="1"/>
  <c r="M123" i="1"/>
  <c r="L123" i="1"/>
  <c r="K123" i="1"/>
  <c r="M122" i="1"/>
  <c r="L122" i="1"/>
  <c r="K122" i="1"/>
  <c r="M121" i="1"/>
  <c r="L121" i="1"/>
  <c r="K121" i="1"/>
  <c r="M120" i="1"/>
  <c r="L120" i="1"/>
  <c r="K120" i="1"/>
  <c r="M119" i="1"/>
  <c r="L119" i="1"/>
  <c r="K119" i="1"/>
  <c r="M118" i="1"/>
  <c r="K118" i="1" s="1"/>
  <c r="L118" i="1"/>
  <c r="M117" i="1"/>
  <c r="K117" i="1" s="1"/>
  <c r="L117" i="1"/>
  <c r="M116" i="1"/>
  <c r="K116" i="1" s="1"/>
  <c r="L116" i="1"/>
  <c r="M115" i="1"/>
  <c r="K115" i="1" s="1"/>
  <c r="L115" i="1"/>
  <c r="M114" i="1"/>
  <c r="K114" i="1" s="1"/>
  <c r="L114" i="1"/>
  <c r="M113" i="1"/>
  <c r="K113" i="1" s="1"/>
  <c r="L113" i="1"/>
  <c r="M112" i="1"/>
  <c r="K112" i="1" s="1"/>
  <c r="L112" i="1"/>
  <c r="M111" i="1"/>
  <c r="L111" i="1"/>
  <c r="K111" i="1"/>
  <c r="M110" i="1"/>
  <c r="L110" i="1"/>
  <c r="K110" i="1"/>
  <c r="M109" i="1"/>
  <c r="K109" i="1" s="1"/>
  <c r="L109" i="1"/>
  <c r="M108" i="1"/>
  <c r="L108" i="1"/>
  <c r="K108" i="1"/>
  <c r="M107" i="1"/>
  <c r="L107" i="1"/>
  <c r="K107" i="1"/>
  <c r="M106" i="1"/>
  <c r="L106" i="1"/>
  <c r="K106" i="1"/>
  <c r="M105" i="1"/>
  <c r="L105" i="1"/>
  <c r="K105" i="1"/>
  <c r="M104" i="1"/>
  <c r="L104" i="1"/>
  <c r="K104" i="1"/>
  <c r="M103" i="1"/>
  <c r="L103" i="1"/>
  <c r="K103" i="1"/>
  <c r="M102" i="1"/>
  <c r="K102" i="1" s="1"/>
  <c r="L102" i="1"/>
  <c r="M101" i="1"/>
  <c r="K101" i="1" s="1"/>
  <c r="L101" i="1"/>
  <c r="M100" i="1"/>
  <c r="K100" i="1" s="1"/>
  <c r="L100" i="1"/>
  <c r="M99" i="1"/>
  <c r="K99" i="1" s="1"/>
  <c r="L99" i="1"/>
  <c r="M98" i="1"/>
  <c r="K98" i="1" s="1"/>
  <c r="L98" i="1"/>
  <c r="M97" i="1"/>
  <c r="K97" i="1" s="1"/>
  <c r="L97" i="1"/>
  <c r="M96" i="1"/>
  <c r="K96" i="1" s="1"/>
  <c r="L96" i="1"/>
  <c r="M95" i="1"/>
  <c r="L95" i="1"/>
  <c r="K95" i="1"/>
  <c r="M94" i="1"/>
  <c r="L94" i="1"/>
  <c r="K94" i="1"/>
  <c r="M93" i="1"/>
  <c r="K93" i="1" s="1"/>
  <c r="L93" i="1"/>
  <c r="M92" i="1"/>
  <c r="L92" i="1"/>
  <c r="K92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K86" i="1" s="1"/>
  <c r="L86" i="1"/>
  <c r="M85" i="1"/>
  <c r="K85" i="1" s="1"/>
  <c r="L85" i="1"/>
  <c r="M84" i="1"/>
  <c r="K84" i="1" s="1"/>
  <c r="L84" i="1"/>
  <c r="M83" i="1"/>
  <c r="K83" i="1" s="1"/>
  <c r="L83" i="1"/>
  <c r="M82" i="1"/>
  <c r="K82" i="1" s="1"/>
  <c r="L82" i="1"/>
  <c r="M81" i="1"/>
  <c r="K81" i="1" s="1"/>
  <c r="L81" i="1"/>
  <c r="M80" i="1"/>
  <c r="K80" i="1" s="1"/>
  <c r="L80" i="1"/>
  <c r="M79" i="1"/>
  <c r="L79" i="1"/>
  <c r="K79" i="1"/>
  <c r="M78" i="1"/>
  <c r="L78" i="1"/>
  <c r="K78" i="1"/>
  <c r="M77" i="1"/>
  <c r="K77" i="1" s="1"/>
  <c r="L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K70" i="1" s="1"/>
  <c r="L70" i="1"/>
  <c r="M69" i="1"/>
  <c r="K69" i="1" s="1"/>
  <c r="L69" i="1"/>
  <c r="M68" i="1"/>
  <c r="K68" i="1" s="1"/>
  <c r="L68" i="1"/>
  <c r="M67" i="1"/>
  <c r="K67" i="1" s="1"/>
  <c r="L67" i="1"/>
  <c r="M66" i="1"/>
  <c r="K66" i="1" s="1"/>
  <c r="L66" i="1"/>
  <c r="M65" i="1"/>
  <c r="K65" i="1" s="1"/>
  <c r="L65" i="1"/>
  <c r="M64" i="1"/>
  <c r="K64" i="1" s="1"/>
  <c r="L64" i="1"/>
  <c r="M63" i="1"/>
  <c r="L63" i="1"/>
  <c r="K63" i="1"/>
  <c r="M62" i="1"/>
  <c r="L62" i="1"/>
  <c r="K62" i="1"/>
  <c r="M61" i="1"/>
  <c r="K61" i="1" s="1"/>
  <c r="L61" i="1"/>
  <c r="M60" i="1"/>
  <c r="L60" i="1"/>
  <c r="K60" i="1"/>
  <c r="M59" i="1"/>
  <c r="K59" i="1" s="1"/>
  <c r="L59" i="1"/>
  <c r="M58" i="1"/>
  <c r="K58" i="1" s="1"/>
  <c r="L58" i="1"/>
  <c r="M57" i="1"/>
  <c r="L57" i="1"/>
  <c r="K57" i="1"/>
  <c r="M56" i="1"/>
  <c r="L56" i="1"/>
  <c r="K56" i="1"/>
  <c r="M55" i="1"/>
  <c r="K55" i="1" s="1"/>
  <c r="L55" i="1"/>
  <c r="M54" i="1"/>
  <c r="K54" i="1" s="1"/>
  <c r="L54" i="1"/>
  <c r="M53" i="1"/>
  <c r="K53" i="1" s="1"/>
  <c r="L53" i="1"/>
  <c r="M52" i="1"/>
  <c r="K52" i="1" s="1"/>
  <c r="L52" i="1"/>
  <c r="M51" i="1"/>
  <c r="L51" i="1"/>
  <c r="K51" i="1"/>
  <c r="M50" i="1"/>
  <c r="K50" i="1" s="1"/>
  <c r="L50" i="1"/>
  <c r="M49" i="1"/>
  <c r="L49" i="1"/>
  <c r="K49" i="1"/>
  <c r="M48" i="1"/>
  <c r="L48" i="1"/>
  <c r="K48" i="1"/>
  <c r="M47" i="1"/>
  <c r="K47" i="1" s="1"/>
  <c r="L47" i="1"/>
  <c r="M46" i="1"/>
  <c r="K46" i="1" s="1"/>
  <c r="L46" i="1"/>
  <c r="M45" i="1"/>
  <c r="L45" i="1"/>
  <c r="K45" i="1"/>
  <c r="M44" i="1"/>
  <c r="L44" i="1"/>
  <c r="K44" i="1"/>
  <c r="M43" i="1"/>
  <c r="K43" i="1" s="1"/>
  <c r="L43" i="1"/>
  <c r="M42" i="1"/>
  <c r="L42" i="1"/>
  <c r="K42" i="1"/>
  <c r="M41" i="1"/>
  <c r="L41" i="1"/>
  <c r="K41" i="1"/>
  <c r="M40" i="1"/>
  <c r="L40" i="1"/>
  <c r="K40" i="1"/>
  <c r="M39" i="1"/>
  <c r="K39" i="1" s="1"/>
  <c r="L39" i="1"/>
  <c r="M38" i="1"/>
  <c r="K38" i="1" s="1"/>
  <c r="L38" i="1"/>
  <c r="M37" i="1"/>
  <c r="L37" i="1"/>
  <c r="K37" i="1"/>
  <c r="M36" i="1"/>
  <c r="K36" i="1" s="1"/>
  <c r="L36" i="1"/>
  <c r="M35" i="1"/>
  <c r="L35" i="1"/>
  <c r="K35" i="1"/>
  <c r="M34" i="1"/>
  <c r="K34" i="1" s="1"/>
  <c r="L34" i="1"/>
  <c r="M33" i="1"/>
  <c r="L33" i="1"/>
  <c r="K33" i="1"/>
  <c r="M32" i="1"/>
  <c r="L32" i="1"/>
  <c r="K32" i="1"/>
  <c r="M31" i="1"/>
  <c r="K31" i="1" s="1"/>
  <c r="L31" i="1"/>
  <c r="M30" i="1"/>
  <c r="L30" i="1"/>
  <c r="K30" i="1"/>
  <c r="M29" i="1"/>
  <c r="L29" i="1"/>
  <c r="K29" i="1"/>
  <c r="M28" i="1"/>
  <c r="L28" i="1"/>
  <c r="K28" i="1"/>
  <c r="M27" i="1"/>
  <c r="K27" i="1" s="1"/>
  <c r="L27" i="1"/>
  <c r="M26" i="1"/>
  <c r="L26" i="1"/>
  <c r="K26" i="1"/>
  <c r="M25" i="1"/>
  <c r="L25" i="1"/>
  <c r="K25" i="1"/>
  <c r="M24" i="1"/>
  <c r="L24" i="1"/>
  <c r="K24" i="1"/>
  <c r="M23" i="1"/>
  <c r="K23" i="1" s="1"/>
  <c r="L23" i="1"/>
  <c r="M22" i="1"/>
  <c r="K22" i="1" s="1"/>
  <c r="L22" i="1"/>
  <c r="M21" i="1"/>
  <c r="L21" i="1"/>
  <c r="K21" i="1"/>
  <c r="M20" i="1"/>
  <c r="K20" i="1" s="1"/>
  <c r="L20" i="1"/>
  <c r="M19" i="1"/>
  <c r="L19" i="1"/>
  <c r="K19" i="1"/>
  <c r="M18" i="1"/>
  <c r="K18" i="1" s="1"/>
  <c r="L18" i="1"/>
  <c r="M17" i="1"/>
  <c r="L17" i="1"/>
  <c r="K17" i="1"/>
  <c r="M16" i="1"/>
  <c r="L16" i="1"/>
  <c r="K16" i="1"/>
  <c r="M15" i="1"/>
  <c r="K15" i="1" s="1"/>
  <c r="L15" i="1"/>
  <c r="M14" i="1"/>
  <c r="L14" i="1"/>
  <c r="K14" i="1"/>
  <c r="M13" i="1"/>
  <c r="L13" i="1"/>
  <c r="K13" i="1"/>
  <c r="M12" i="1"/>
  <c r="L12" i="1"/>
  <c r="K12" i="1"/>
  <c r="M11" i="1"/>
  <c r="K11" i="1" s="1"/>
  <c r="L11" i="1"/>
  <c r="M10" i="1"/>
  <c r="L10" i="1"/>
  <c r="K10" i="1"/>
  <c r="M9" i="1"/>
  <c r="L9" i="1"/>
  <c r="K9" i="1"/>
  <c r="M8" i="1"/>
  <c r="L8" i="1"/>
  <c r="K8" i="1"/>
  <c r="M7" i="1"/>
  <c r="K7" i="1" s="1"/>
  <c r="L7" i="1"/>
  <c r="M6" i="1"/>
  <c r="K6" i="1" s="1"/>
  <c r="L6" i="1"/>
  <c r="M5" i="1"/>
  <c r="L5" i="1"/>
  <c r="K5" i="1"/>
  <c r="M4" i="1"/>
  <c r="K4" i="1" s="1"/>
  <c r="L4" i="1"/>
  <c r="M3" i="1"/>
  <c r="L3" i="1"/>
  <c r="K3" i="1"/>
  <c r="M2" i="1"/>
  <c r="K2" i="1" s="1"/>
  <c r="L2" i="1"/>
</calcChain>
</file>

<file path=xl/sharedStrings.xml><?xml version="1.0" encoding="utf-8"?>
<sst xmlns="http://schemas.openxmlformats.org/spreadsheetml/2006/main" count="3503" uniqueCount="419">
  <si>
    <t>ID</t>
  </si>
  <si>
    <t>Data</t>
  </si>
  <si>
    <t>Modelo</t>
  </si>
  <si>
    <t>Área</t>
  </si>
  <si>
    <t>Problema</t>
  </si>
  <si>
    <t>Gravidade</t>
  </si>
  <si>
    <t>Produção</t>
  </si>
  <si>
    <t>Defeitos</t>
  </si>
  <si>
    <t>Pós-venda</t>
  </si>
  <si>
    <t>Semestre</t>
  </si>
  <si>
    <t>Trimestre</t>
  </si>
  <si>
    <t>Mês</t>
  </si>
  <si>
    <t>Nº Mês</t>
  </si>
  <si>
    <t>SUV C</t>
  </si>
  <si>
    <t>Montagem</t>
  </si>
  <si>
    <t>Torque fora da especificação</t>
  </si>
  <si>
    <t>Alta</t>
  </si>
  <si>
    <t>Elétrica</t>
  </si>
  <si>
    <t>Falha no sensor ABS</t>
  </si>
  <si>
    <t>Sedan B</t>
  </si>
  <si>
    <t>Pintura</t>
  </si>
  <si>
    <t>Falha na pintura</t>
  </si>
  <si>
    <t>Média</t>
  </si>
  <si>
    <t>Hatch A</t>
  </si>
  <si>
    <t>Acabamento</t>
  </si>
  <si>
    <t>Ruído interno</t>
  </si>
  <si>
    <t>Pickup D</t>
  </si>
  <si>
    <t>Powertrain</t>
  </si>
  <si>
    <t>Vazamento de óleo</t>
  </si>
  <si>
    <t>Parafuso ausente</t>
  </si>
  <si>
    <t>Elétrico EV</t>
  </si>
  <si>
    <t>Eletrônica</t>
  </si>
  <si>
    <t>Falha na central multimídia</t>
  </si>
  <si>
    <t>Baixa</t>
  </si>
  <si>
    <t>Segurança</t>
  </si>
  <si>
    <t>Airbag com falha de comunicação</t>
  </si>
  <si>
    <t>Crítica</t>
  </si>
  <si>
    <t>Carroceria</t>
  </si>
  <si>
    <t>Desalinhamento das portas</t>
  </si>
  <si>
    <t>Vazamento de líquido de arrefecimento</t>
  </si>
  <si>
    <t>13/01/2025</t>
  </si>
  <si>
    <t>Risco na carroceria</t>
  </si>
  <si>
    <t>14/01/2025</t>
  </si>
  <si>
    <t>Chassi</t>
  </si>
  <si>
    <t>Ruído na suspensão</t>
  </si>
  <si>
    <t>15/01/2025</t>
  </si>
  <si>
    <t>Falha na vedação</t>
  </si>
  <si>
    <t>17/01/2025</t>
  </si>
  <si>
    <t>20/01/2025</t>
  </si>
  <si>
    <t>22/01/2025</t>
  </si>
  <si>
    <t>Falha no chicote elétrico</t>
  </si>
  <si>
    <t>24/01/2025</t>
  </si>
  <si>
    <t>27/01/2025</t>
  </si>
  <si>
    <t>29/01/2025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</si>
  <si>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</si>
  <si>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</si>
  <si>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</si>
  <si>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</si>
  <si>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</si>
  <si>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</si>
  <si>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</si>
  <si>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</si>
  <si>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13/02/2025</t>
  </si>
  <si>
    <t>14/02/2025</t>
  </si>
  <si>
    <t>17/02/2025</t>
  </si>
  <si>
    <t>19/02/2025</t>
  </si>
  <si>
    <t>20/02/2025</t>
  </si>
  <si>
    <t>21/02/2025</t>
  </si>
  <si>
    <t>24/02/2025</t>
  </si>
  <si>
    <t>26/02/2025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</si>
  <si>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</si>
  <si>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</si>
  <si>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</si>
  <si>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</si>
  <si>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</si>
  <si>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</si>
  <si>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</si>
  <si>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</si>
  <si>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</si>
  <si>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</si>
  <si>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</si>
  <si>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</si>
  <si>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</si>
  <si>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</si>
  <si>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</si>
  <si>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</si>
  <si>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</si>
  <si>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</si>
  <si>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</si>
  <si>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</si>
  <si>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</si>
  <si>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</si>
  <si>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</si>
  <si>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01/07/2025</t>
  </si>
  <si>
    <t>2º Semestre</t>
  </si>
  <si>
    <t>T3</t>
  </si>
  <si>
    <t>jul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</si>
  <si>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</si>
  <si>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</si>
  <si>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</si>
  <si>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</si>
  <si>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</si>
  <si>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</si>
  <si>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</si>
  <si>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</si>
  <si>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</si>
  <si>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</si>
  <si>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</si>
  <si>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</si>
  <si>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</si>
  <si>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</si>
  <si>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</si>
  <si>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</si>
  <si>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</si>
  <si>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</si>
  <si>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</si>
  <si>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</si>
  <si>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</si>
  <si>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</si>
  <si>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</si>
  <si>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</si>
  <si>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</si>
  <si>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</si>
  <si>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</si>
  <si>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</si>
  <si>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</si>
  <si>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</si>
  <si>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</si>
  <si>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ago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</si>
  <si>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</si>
  <si>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</si>
  <si>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</si>
  <si>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</si>
  <si>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</si>
  <si>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</si>
  <si>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</si>
  <si>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</si>
  <si>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</si>
  <si>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</si>
  <si>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</si>
  <si>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</si>
  <si>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</si>
  <si>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</si>
  <si>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</si>
  <si>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</si>
  <si>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</si>
  <si>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</si>
  <si>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</si>
  <si>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</si>
  <si>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</si>
  <si>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</si>
  <si>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</si>
  <si>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</si>
  <si>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</si>
  <si>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</si>
  <si>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</si>
  <si>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</si>
  <si>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</si>
  <si>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</si>
  <si>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</si>
  <si>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set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</si>
  <si>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</si>
  <si>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</si>
  <si>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</si>
  <si>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</si>
  <si>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</si>
  <si>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</si>
  <si>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</si>
  <si>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</si>
  <si>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</si>
  <si>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</si>
  <si>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</si>
  <si>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</si>
  <si>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</si>
  <si>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</si>
  <si>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</si>
  <si>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</si>
  <si>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</si>
  <si>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</si>
  <si>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</si>
  <si>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</si>
  <si>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</si>
  <si>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</si>
  <si>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</si>
  <si>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</si>
  <si>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</si>
  <si>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</si>
  <si>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</si>
  <si>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</si>
  <si>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</si>
  <si>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</si>
  <si>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T4</t>
  </si>
  <si>
    <t>out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</si>
  <si>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</si>
  <si>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</si>
  <si>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</si>
  <si>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</si>
  <si>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</si>
  <si>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</si>
  <si>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</si>
  <si>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</si>
  <si>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</si>
  <si>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</si>
  <si>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</si>
  <si>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</si>
  <si>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</si>
  <si>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</si>
  <si>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</si>
  <si>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</si>
  <si>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</si>
  <si>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</si>
  <si>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</si>
  <si>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</si>
  <si>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</si>
  <si>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</si>
  <si>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</si>
  <si>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</si>
  <si>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</si>
  <si>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</si>
  <si>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</si>
  <si>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</si>
  <si>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</si>
  <si>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</si>
  <si>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</si>
  <si>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nov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</si>
  <si>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</si>
  <si>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</si>
  <si>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</si>
  <si>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</si>
  <si>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</si>
  <si>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</si>
  <si>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</si>
  <si>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</si>
  <si>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</si>
  <si>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</si>
  <si>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</si>
  <si>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</si>
  <si>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</si>
  <si>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</si>
  <si>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</si>
  <si>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</si>
  <si>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</si>
  <si>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</si>
  <si>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</si>
  <si>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</si>
  <si>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</si>
  <si>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</si>
  <si>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</si>
  <si>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</si>
  <si>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</si>
  <si>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</si>
  <si>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</si>
  <si>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</si>
  <si>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</si>
  <si>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</si>
  <si>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dez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</si>
  <si>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</si>
  <si>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</si>
  <si>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</si>
  <si>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</si>
  <si>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</si>
  <si>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</si>
  <si>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</si>
  <si>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</si>
  <si>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</si>
  <si>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</si>
  <si>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</si>
  <si>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</si>
  <si>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</si>
  <si>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</si>
  <si>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</si>
  <si>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</si>
  <si>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</si>
  <si>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</si>
  <si>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</si>
  <si>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</si>
  <si>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</si>
  <si>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</si>
  <si>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</si>
  <si>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</si>
  <si>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</si>
  <si>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</si>
  <si>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</si>
  <si>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</si>
  <si>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</si>
  <si>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</si>
  <si>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</si>
  <si>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T1</t>
  </si>
  <si>
    <t>jan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</si>
  <si>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</si>
  <si>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</si>
  <si>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</si>
  <si>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</si>
  <si>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</si>
  <si>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</si>
  <si>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</si>
  <si>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</si>
  <si>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</si>
  <si>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</si>
  <si>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</si>
  <si>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</si>
  <si>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</si>
  <si>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</si>
  <si>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</si>
  <si>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</si>
  <si>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</si>
  <si>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</si>
  <si>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</si>
  <si>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</si>
  <si>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</si>
  <si>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</si>
  <si>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</si>
  <si>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</si>
  <si>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</si>
  <si>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</si>
  <si>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</si>
  <si>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</si>
  <si>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</si>
  <si>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</si>
  <si>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</si>
  <si>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fev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</si>
  <si>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</si>
  <si>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</si>
  <si>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</si>
  <si>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</si>
  <si>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</si>
  <si>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</si>
  <si>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</si>
  <si>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</si>
  <si>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</si>
  <si>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</si>
  <si>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</si>
  <si>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</si>
  <si>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</si>
  <si>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</si>
  <si>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</si>
  <si>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</si>
  <si>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</si>
  <si>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</si>
  <si>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</si>
  <si>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</si>
  <si>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</si>
  <si>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</si>
  <si>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</si>
  <si>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</si>
  <si>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</si>
  <si>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</si>
  <si>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</si>
  <si>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</si>
  <si>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mar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</si>
  <si>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</si>
  <si>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</si>
  <si>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</si>
  <si>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</si>
  <si>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</si>
  <si>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</si>
  <si>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</si>
  <si>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</si>
  <si>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</si>
  <si>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</si>
  <si>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</si>
  <si>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</si>
  <si>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</si>
  <si>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</si>
  <si>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</si>
  <si>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</si>
  <si>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</si>
  <si>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</si>
  <si>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</si>
  <si>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</si>
  <si>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</si>
  <si>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</si>
  <si>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</si>
  <si>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</si>
  <si>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</si>
  <si>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</si>
  <si>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</si>
  <si>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</si>
  <si>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</si>
  <si>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</si>
  <si>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</si>
  <si>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T2</t>
  </si>
  <si>
    <t>abr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</si>
  <si>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</si>
  <si>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</si>
  <si>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</si>
  <si>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</si>
  <si>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</si>
  <si>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</si>
  <si>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</si>
  <si>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</si>
  <si>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</si>
  <si>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</si>
  <si>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</si>
  <si>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</si>
  <si>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</si>
  <si>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</si>
  <si>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</si>
  <si>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</si>
  <si>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</si>
  <si>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</si>
  <si>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</si>
  <si>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</si>
  <si>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</si>
  <si>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</si>
  <si>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</si>
  <si>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</si>
  <si>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</si>
  <si>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</si>
  <si>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</si>
  <si>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</si>
  <si>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</si>
  <si>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</si>
  <si>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mai</t>
  </si>
  <si>
    <t>02/05/2026</t>
  </si>
  <si>
    <t>03/05/2026</t>
  </si>
  <si>
    <t>04/05/2026</t>
  </si>
  <si>
    <t>05/05/2026</t>
  </si>
  <si>
    <t>06/05/2026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</si>
</sst>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5"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93B8C-C5D4-494C-9A43-6C57DC41093C}" name="Tb.qualidade" displayName="Tb.qualidade" ref="B1:N551" totalsRowShown="0" headerRowDxfId="14" dataDxfId="13">
  <autoFilter ref="B1:N551" xr:uid="{73093B8C-C5D4-494C-9A43-6C57DC41093C}"/>
  <tableColumns count="13">
    <tableColumn id="1" xr3:uid="{29EF87A4-A8A7-4DD8-A377-BE9B22439C58}" name="ID" dataDxfId="12"/>
    <tableColumn id="2" xr3:uid="{B4A48F55-9576-41BE-9580-25D469CEF12B}" name="Data" dataDxfId="11"/>
    <tableColumn id="3" xr3:uid="{2AA79427-FEF3-4182-B39F-40B394ACD7CA}" name="Modelo" dataDxfId="10"/>
    <tableColumn id="4" xr3:uid="{0627727F-D89A-47D5-AD0F-AC8FDE99B720}" name="Área" dataDxfId="9"/>
    <tableColumn id="5" xr3:uid="{30383DCE-A7CB-4E1B-845E-14C6FCE6DE62}" name="Problema" dataDxfId="8"/>
    <tableColumn id="6" xr3:uid="{84903A5D-E4B0-4CE1-856C-B769EF5A02EA}" name="Gravidade" dataDxfId="7"/>
    <tableColumn id="7" xr3:uid="{CB9AEC98-6946-4719-BA6B-5CBBBBC1894D}" name="Produção" dataDxfId="6"/>
    <tableColumn id="8" xr3:uid="{1807B6B3-05EF-4C5B-9808-7F7CD1EC83F1}" name="Defeitos" dataDxfId="5"/>
    <tableColumn id="9" xr3:uid="{4C593D42-7C8E-4112-93E2-73F7E81880E9}" name="Pós-venda" dataDxfId="4"/>
    <tableColumn id="10" xr3:uid="{124185B4-531B-46C9-9B5C-70FC63D6AF35}" name="Semestre" dataDxfId="3">
      <calculatedColumnFormula>IF(MONTH(M2 &amp; " 1")&lt;=6, "1º Semestre", "2º Semestre")</calculatedColumnFormula>
    </tableColumn>
    <tableColumn id="11" xr3:uid="{8EBD0BD0-EB65-45F1-98E1-F144392DE17F}" name="Trimestre" dataDxfId="2">
      <calculatedColumnFormula>"T"&amp;ROUNDUP(VALUE(N2)/3,0)</calculatedColumnFormula>
    </tableColumn>
    <tableColumn id="12" xr3:uid="{AB81BB7D-FD82-4F61-B39D-8A49DE411D9E}" name="Mês" dataDxfId="1">
      <calculatedColumnFormula>TEXT(C2,"MMM")</calculatedColumnFormula>
    </tableColumn>
    <tableColumn id="13" xr3:uid="{95180680-A2D0-43BF-A5D2-534E3DDC4590}" name="Nº Mê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BF38-C891-4224-95C5-8DE6F3A30FB8}">
  <dimension ref="B1:N551"/>
  <sheetViews>
    <sheetView tabSelected="1" topLeftCell="A532" workbookViewId="0">
      <selection activeCell="P13" sqref="P13"/>
    </sheetView>
  </sheetViews>
  <sheetFormatPr defaultRowHeight="14.4" x14ac:dyDescent="0.3"/>
  <cols>
    <col min="2" max="2" width="7.21875" bestFit="1" customWidth="1"/>
    <col min="3" max="3" width="10.33203125" bestFit="1" customWidth="1"/>
    <col min="4" max="4" width="11.5546875" bestFit="1" customWidth="1"/>
    <col min="5" max="5" width="11.21875" bestFit="1" customWidth="1"/>
    <col min="6" max="6" width="32.6640625" bestFit="1" customWidth="1"/>
    <col min="7" max="7" width="14.109375" bestFit="1" customWidth="1"/>
    <col min="8" max="8" width="13.33203125" bestFit="1" customWidth="1"/>
    <col min="9" max="9" width="12.33203125" bestFit="1" customWidth="1"/>
    <col min="10" max="10" width="11.5546875" customWidth="1"/>
    <col min="11" max="12" width="13.44140625" bestFit="1" customWidth="1"/>
    <col min="13" max="13" width="8.77734375" bestFit="1" customWidth="1"/>
    <col min="14" max="14" width="11.33203125" bestFit="1" customWidth="1"/>
  </cols>
  <sheetData>
    <row r="1" spans="2:14" x14ac:dyDescent="0.3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2:14" x14ac:dyDescent="0.3">
      <c r="B2">
        <v>1</v>
      </c>
      <c r="C2" s="1">
        <v>45660</v>
      </c>
      <c r="D2" t="s">
        <v>13</v>
      </c>
      <c r="E2" t="s">
        <v>14</v>
      </c>
      <c r="F2" t="s">
        <v>15</v>
      </c>
      <c r="G2" t="s">
        <v>16</v>
      </c>
      <c r="H2">
        <v>121</v>
      </c>
      <c r="I2">
        <v>7</v>
      </c>
      <c r="J2">
        <v>4</v>
      </c>
      <c r="K2" s="2" t="str">
        <f>IF(MONTH(M2 &amp; " 1")&lt;=6, "1º Semestre", "2º Semestre")</f>
        <v>1º Semestre</v>
      </c>
      <c r="L2" s="2" t="str">
        <f>"T"&amp;ROUNDUP(VALUE(N2)/3,0)</f>
        <v>T1</v>
      </c>
      <c r="M2" s="2" t="str">
        <f t="shared" ref="M2:M65" si="0">TEXT(C2,"MMM")</f>
        <v>jan</v>
      </c>
      <c r="N2" s="2">
        <v>1</v>
      </c>
    </row>
    <row r="3" spans="2:14" x14ac:dyDescent="0.3">
      <c r="B3">
        <v>2</v>
      </c>
      <c r="C3" s="1">
        <v>45660</v>
      </c>
      <c r="D3" t="s">
        <v>13</v>
      </c>
      <c r="E3" t="s">
        <v>17</v>
      </c>
      <c r="F3" t="s">
        <v>18</v>
      </c>
      <c r="G3" t="s">
        <v>16</v>
      </c>
      <c r="H3">
        <v>109</v>
      </c>
      <c r="I3">
        <v>3</v>
      </c>
      <c r="J3">
        <v>2</v>
      </c>
      <c r="K3" s="2" t="str">
        <f t="shared" ref="K3:K66" si="1">IF(MONTH(M3 &amp; " 1")&lt;=6, "1º Semestre", "2º Semestre")</f>
        <v>1º Semestre</v>
      </c>
      <c r="L3" s="2" t="str">
        <f t="shared" ref="L3:L66" si="2">"T"&amp;ROUNDUP(VALUE(N3)/3,0)</f>
        <v>T1</v>
      </c>
      <c r="M3" s="2" t="str">
        <f t="shared" si="0"/>
        <v>jan</v>
      </c>
      <c r="N3" s="2">
        <v>1</v>
      </c>
    </row>
    <row r="4" spans="2:14" x14ac:dyDescent="0.3">
      <c r="B4">
        <v>3</v>
      </c>
      <c r="C4" s="1">
        <v>45662</v>
      </c>
      <c r="D4" t="s">
        <v>19</v>
      </c>
      <c r="E4" t="s">
        <v>20</v>
      </c>
      <c r="F4" t="s">
        <v>21</v>
      </c>
      <c r="G4" t="s">
        <v>22</v>
      </c>
      <c r="H4">
        <v>97</v>
      </c>
      <c r="I4">
        <v>9</v>
      </c>
      <c r="J4">
        <v>1</v>
      </c>
      <c r="K4" s="2" t="str">
        <f t="shared" si="1"/>
        <v>1º Semestre</v>
      </c>
      <c r="L4" s="2" t="str">
        <f t="shared" si="2"/>
        <v>T1</v>
      </c>
      <c r="M4" s="2" t="str">
        <f t="shared" si="0"/>
        <v>jan</v>
      </c>
      <c r="N4" s="2">
        <v>1</v>
      </c>
    </row>
    <row r="5" spans="2:14" x14ac:dyDescent="0.3">
      <c r="B5">
        <v>4</v>
      </c>
      <c r="C5" s="1">
        <v>45663</v>
      </c>
      <c r="D5" t="s">
        <v>23</v>
      </c>
      <c r="E5" t="s">
        <v>24</v>
      </c>
      <c r="F5" t="s">
        <v>25</v>
      </c>
      <c r="G5" t="s">
        <v>22</v>
      </c>
      <c r="H5">
        <v>50</v>
      </c>
      <c r="I5">
        <v>6</v>
      </c>
      <c r="J5">
        <v>5</v>
      </c>
      <c r="K5" s="2" t="str">
        <f t="shared" si="1"/>
        <v>1º Semestre</v>
      </c>
      <c r="L5" s="2" t="str">
        <f t="shared" si="2"/>
        <v>T1</v>
      </c>
      <c r="M5" s="2" t="str">
        <f t="shared" si="0"/>
        <v>jan</v>
      </c>
      <c r="N5" s="2">
        <v>1</v>
      </c>
    </row>
    <row r="6" spans="2:14" x14ac:dyDescent="0.3">
      <c r="B6">
        <v>5</v>
      </c>
      <c r="C6" s="1">
        <v>45664</v>
      </c>
      <c r="D6" t="s">
        <v>26</v>
      </c>
      <c r="E6" t="s">
        <v>27</v>
      </c>
      <c r="F6" t="s">
        <v>28</v>
      </c>
      <c r="G6" t="s">
        <v>16</v>
      </c>
      <c r="H6">
        <v>30</v>
      </c>
      <c r="I6">
        <v>2</v>
      </c>
      <c r="J6">
        <v>2</v>
      </c>
      <c r="K6" s="2" t="str">
        <f t="shared" si="1"/>
        <v>1º Semestre</v>
      </c>
      <c r="L6" s="2" t="str">
        <f t="shared" si="2"/>
        <v>T1</v>
      </c>
      <c r="M6" s="2" t="str">
        <f t="shared" si="0"/>
        <v>jan</v>
      </c>
      <c r="N6" s="2">
        <v>1</v>
      </c>
    </row>
    <row r="7" spans="2:14" x14ac:dyDescent="0.3">
      <c r="B7">
        <v>6</v>
      </c>
      <c r="C7" s="1">
        <v>45665</v>
      </c>
      <c r="D7" t="s">
        <v>13</v>
      </c>
      <c r="E7" t="s">
        <v>14</v>
      </c>
      <c r="F7" t="s">
        <v>29</v>
      </c>
      <c r="G7" t="s">
        <v>16</v>
      </c>
      <c r="H7">
        <v>125</v>
      </c>
      <c r="I7">
        <v>4</v>
      </c>
      <c r="J7">
        <v>3</v>
      </c>
      <c r="K7" s="2" t="str">
        <f t="shared" si="1"/>
        <v>1º Semestre</v>
      </c>
      <c r="L7" s="2" t="str">
        <f t="shared" si="2"/>
        <v>T1</v>
      </c>
      <c r="M7" s="2" t="str">
        <f t="shared" si="0"/>
        <v>jan</v>
      </c>
      <c r="N7" s="2">
        <v>1</v>
      </c>
    </row>
    <row r="8" spans="2:14" x14ac:dyDescent="0.3">
      <c r="B8">
        <v>7</v>
      </c>
      <c r="C8" s="1">
        <v>45666</v>
      </c>
      <c r="D8" t="s">
        <v>30</v>
      </c>
      <c r="E8" t="s">
        <v>31</v>
      </c>
      <c r="F8" t="s">
        <v>32</v>
      </c>
      <c r="G8" t="s">
        <v>33</v>
      </c>
      <c r="H8">
        <v>30</v>
      </c>
      <c r="I8">
        <v>5</v>
      </c>
      <c r="J8">
        <v>2</v>
      </c>
      <c r="K8" s="2" t="str">
        <f t="shared" si="1"/>
        <v>1º Semestre</v>
      </c>
      <c r="L8" s="2" t="str">
        <f t="shared" si="2"/>
        <v>T1</v>
      </c>
      <c r="M8" s="2" t="str">
        <f t="shared" si="0"/>
        <v>jan</v>
      </c>
      <c r="N8" s="2">
        <v>1</v>
      </c>
    </row>
    <row r="9" spans="2:14" x14ac:dyDescent="0.3">
      <c r="B9">
        <v>8</v>
      </c>
      <c r="C9" s="1">
        <v>45667</v>
      </c>
      <c r="D9" t="s">
        <v>19</v>
      </c>
      <c r="E9" t="s">
        <v>34</v>
      </c>
      <c r="F9" t="s">
        <v>35</v>
      </c>
      <c r="G9" t="s">
        <v>36</v>
      </c>
      <c r="H9">
        <v>99</v>
      </c>
      <c r="I9">
        <v>1</v>
      </c>
      <c r="J9">
        <v>1</v>
      </c>
      <c r="K9" s="2" t="str">
        <f t="shared" si="1"/>
        <v>1º Semestre</v>
      </c>
      <c r="L9" s="2" t="str">
        <f t="shared" si="2"/>
        <v>T1</v>
      </c>
      <c r="M9" s="2" t="str">
        <f t="shared" si="0"/>
        <v>jan</v>
      </c>
      <c r="N9" s="2">
        <v>1</v>
      </c>
    </row>
    <row r="10" spans="2:14" x14ac:dyDescent="0.3">
      <c r="B10">
        <v>9</v>
      </c>
      <c r="C10" s="1">
        <v>45667</v>
      </c>
      <c r="D10" t="s">
        <v>13</v>
      </c>
      <c r="E10" t="s">
        <v>37</v>
      </c>
      <c r="F10" t="s">
        <v>38</v>
      </c>
      <c r="G10" t="s">
        <v>22</v>
      </c>
      <c r="H10">
        <v>113</v>
      </c>
      <c r="I10">
        <v>5</v>
      </c>
      <c r="J10">
        <v>4</v>
      </c>
      <c r="K10" s="2" t="str">
        <f t="shared" si="1"/>
        <v>1º Semestre</v>
      </c>
      <c r="L10" s="2" t="str">
        <f t="shared" si="2"/>
        <v>T1</v>
      </c>
      <c r="M10" s="2" t="str">
        <f t="shared" si="0"/>
        <v>jan</v>
      </c>
      <c r="N10" s="2">
        <v>1</v>
      </c>
    </row>
    <row r="11" spans="2:14" x14ac:dyDescent="0.3">
      <c r="B11">
        <v>10</v>
      </c>
      <c r="C11" s="1">
        <v>45668</v>
      </c>
      <c r="D11" t="s">
        <v>26</v>
      </c>
      <c r="E11" t="s">
        <v>27</v>
      </c>
      <c r="F11" t="s">
        <v>39</v>
      </c>
      <c r="G11" t="s">
        <v>16</v>
      </c>
      <c r="H11">
        <v>30</v>
      </c>
      <c r="I11">
        <v>3</v>
      </c>
      <c r="J11">
        <v>2</v>
      </c>
      <c r="K11" s="2" t="str">
        <f t="shared" si="1"/>
        <v>1º Semestre</v>
      </c>
      <c r="L11" s="2" t="str">
        <f t="shared" si="2"/>
        <v>T1</v>
      </c>
      <c r="M11" s="2" t="str">
        <f t="shared" si="0"/>
        <v>jan</v>
      </c>
      <c r="N11" s="2">
        <v>1</v>
      </c>
    </row>
    <row r="12" spans="2:14" x14ac:dyDescent="0.3">
      <c r="B12">
        <v>11</v>
      </c>
      <c r="C12" t="s">
        <v>40</v>
      </c>
      <c r="D12" t="s">
        <v>23</v>
      </c>
      <c r="E12" t="s">
        <v>20</v>
      </c>
      <c r="F12" t="s">
        <v>41</v>
      </c>
      <c r="G12" t="s">
        <v>33</v>
      </c>
      <c r="H12">
        <v>41</v>
      </c>
      <c r="I12">
        <v>12</v>
      </c>
      <c r="J12">
        <v>1</v>
      </c>
      <c r="K12" s="2" t="str">
        <f t="shared" si="1"/>
        <v>1º Semestre</v>
      </c>
      <c r="L12" s="2" t="str">
        <f t="shared" si="2"/>
        <v>T1</v>
      </c>
      <c r="M12" s="2" t="str">
        <f t="shared" si="0"/>
        <v>jan</v>
      </c>
      <c r="N12" s="2">
        <v>1</v>
      </c>
    </row>
    <row r="13" spans="2:14" x14ac:dyDescent="0.3">
      <c r="B13">
        <v>12</v>
      </c>
      <c r="C13" t="s">
        <v>42</v>
      </c>
      <c r="D13" t="s">
        <v>13</v>
      </c>
      <c r="E13" t="s">
        <v>43</v>
      </c>
      <c r="F13" t="s">
        <v>44</v>
      </c>
      <c r="G13" t="s">
        <v>22</v>
      </c>
      <c r="H13">
        <v>117</v>
      </c>
      <c r="I13">
        <v>7</v>
      </c>
      <c r="J13">
        <v>5</v>
      </c>
      <c r="K13" s="2" t="str">
        <f t="shared" si="1"/>
        <v>1º Semestre</v>
      </c>
      <c r="L13" s="2" t="str">
        <f t="shared" si="2"/>
        <v>T1</v>
      </c>
      <c r="M13" s="2" t="str">
        <f t="shared" si="0"/>
        <v>jan</v>
      </c>
      <c r="N13" s="2">
        <v>1</v>
      </c>
    </row>
    <row r="14" spans="2:14" x14ac:dyDescent="0.3">
      <c r="B14">
        <v>13</v>
      </c>
      <c r="C14" t="s">
        <v>45</v>
      </c>
      <c r="D14" t="s">
        <v>19</v>
      </c>
      <c r="E14" t="s">
        <v>24</v>
      </c>
      <c r="F14" t="s">
        <v>46</v>
      </c>
      <c r="G14" t="s">
        <v>22</v>
      </c>
      <c r="H14">
        <v>102</v>
      </c>
      <c r="I14">
        <v>6</v>
      </c>
      <c r="J14">
        <v>4</v>
      </c>
      <c r="K14" s="2" t="str">
        <f t="shared" si="1"/>
        <v>1º Semestre</v>
      </c>
      <c r="L14" s="2" t="str">
        <f t="shared" si="2"/>
        <v>T1</v>
      </c>
      <c r="M14" s="2" t="str">
        <f t="shared" si="0"/>
        <v>jan</v>
      </c>
      <c r="N14" s="2">
        <v>1</v>
      </c>
    </row>
    <row r="15" spans="2:14" x14ac:dyDescent="0.3">
      <c r="B15">
        <v>14</v>
      </c>
      <c r="C15" t="s">
        <v>47</v>
      </c>
      <c r="D15" t="s">
        <v>26</v>
      </c>
      <c r="E15" t="s">
        <v>14</v>
      </c>
      <c r="F15" t="s">
        <v>15</v>
      </c>
      <c r="G15" t="s">
        <v>16</v>
      </c>
      <c r="H15">
        <v>28</v>
      </c>
      <c r="I15">
        <v>5</v>
      </c>
      <c r="J15">
        <v>3</v>
      </c>
      <c r="K15" s="2" t="str">
        <f t="shared" si="1"/>
        <v>1º Semestre</v>
      </c>
      <c r="L15" s="2" t="str">
        <f t="shared" si="2"/>
        <v>T1</v>
      </c>
      <c r="M15" s="2" t="str">
        <f t="shared" si="0"/>
        <v>jan</v>
      </c>
      <c r="N15" s="2">
        <v>1</v>
      </c>
    </row>
    <row r="16" spans="2:14" x14ac:dyDescent="0.3">
      <c r="B16">
        <v>15</v>
      </c>
      <c r="C16" t="s">
        <v>48</v>
      </c>
      <c r="D16" t="s">
        <v>30</v>
      </c>
      <c r="E16" t="s">
        <v>31</v>
      </c>
      <c r="F16" t="s">
        <v>32</v>
      </c>
      <c r="G16" t="s">
        <v>33</v>
      </c>
      <c r="H16">
        <v>30</v>
      </c>
      <c r="I16">
        <v>8</v>
      </c>
      <c r="J16">
        <v>3</v>
      </c>
      <c r="K16" s="2" t="str">
        <f t="shared" si="1"/>
        <v>1º Semestre</v>
      </c>
      <c r="L16" s="2" t="str">
        <f t="shared" si="2"/>
        <v>T1</v>
      </c>
      <c r="M16" s="2" t="str">
        <f t="shared" si="0"/>
        <v>jan</v>
      </c>
      <c r="N16" s="2">
        <v>1</v>
      </c>
    </row>
    <row r="17" spans="2:14" x14ac:dyDescent="0.3">
      <c r="B17">
        <v>16</v>
      </c>
      <c r="C17" t="s">
        <v>49</v>
      </c>
      <c r="D17" t="s">
        <v>13</v>
      </c>
      <c r="E17" t="s">
        <v>17</v>
      </c>
      <c r="F17" t="s">
        <v>50</v>
      </c>
      <c r="G17" t="s">
        <v>16</v>
      </c>
      <c r="H17">
        <v>105</v>
      </c>
      <c r="I17">
        <v>4</v>
      </c>
      <c r="J17">
        <v>3</v>
      </c>
      <c r="K17" s="2" t="str">
        <f t="shared" si="1"/>
        <v>1º Semestre</v>
      </c>
      <c r="L17" s="2" t="str">
        <f t="shared" si="2"/>
        <v>T1</v>
      </c>
      <c r="M17" s="2" t="str">
        <f t="shared" si="0"/>
        <v>jan</v>
      </c>
      <c r="N17" s="2">
        <v>1</v>
      </c>
    </row>
    <row r="18" spans="2:14" x14ac:dyDescent="0.3">
      <c r="B18">
        <v>17</v>
      </c>
      <c r="C18" t="s">
        <v>51</v>
      </c>
      <c r="D18" t="s">
        <v>19</v>
      </c>
      <c r="E18" t="s">
        <v>20</v>
      </c>
      <c r="F18" t="s">
        <v>21</v>
      </c>
      <c r="G18" t="s">
        <v>22</v>
      </c>
      <c r="H18">
        <v>95</v>
      </c>
      <c r="I18">
        <v>10</v>
      </c>
      <c r="J18">
        <v>2</v>
      </c>
      <c r="K18" s="2" t="str">
        <f t="shared" si="1"/>
        <v>1º Semestre</v>
      </c>
      <c r="L18" s="2" t="str">
        <f t="shared" si="2"/>
        <v>T1</v>
      </c>
      <c r="M18" s="2" t="str">
        <f t="shared" si="0"/>
        <v>jan</v>
      </c>
      <c r="N18" s="2">
        <v>1</v>
      </c>
    </row>
    <row r="19" spans="2:14" x14ac:dyDescent="0.3">
      <c r="B19">
        <v>18</v>
      </c>
      <c r="C19" t="s">
        <v>52</v>
      </c>
      <c r="D19" t="s">
        <v>23</v>
      </c>
      <c r="E19" t="s">
        <v>24</v>
      </c>
      <c r="F19" t="s">
        <v>25</v>
      </c>
      <c r="G19" t="s">
        <v>22</v>
      </c>
      <c r="H19">
        <v>50</v>
      </c>
      <c r="I19">
        <v>8</v>
      </c>
      <c r="J19">
        <v>6</v>
      </c>
      <c r="K19" s="2" t="str">
        <f t="shared" si="1"/>
        <v>1º Semestre</v>
      </c>
      <c r="L19" s="2" t="str">
        <f t="shared" si="2"/>
        <v>T1</v>
      </c>
      <c r="M19" s="2" t="str">
        <f t="shared" si="0"/>
        <v>jan</v>
      </c>
      <c r="N19" s="2">
        <v>1</v>
      </c>
    </row>
    <row r="20" spans="2:14" x14ac:dyDescent="0.3">
      <c r="B20">
        <v>19</v>
      </c>
      <c r="C20" t="s">
        <v>53</v>
      </c>
      <c r="D20" t="s">
        <v>13</v>
      </c>
      <c r="E20" t="s">
        <v>14</v>
      </c>
      <c r="F20" t="s">
        <v>29</v>
      </c>
      <c r="G20" t="s">
        <v>16</v>
      </c>
      <c r="H20">
        <v>127</v>
      </c>
      <c r="I20">
        <v>3</v>
      </c>
      <c r="J20">
        <v>2</v>
      </c>
      <c r="K20" s="2" t="str">
        <f t="shared" si="1"/>
        <v>1º Semestre</v>
      </c>
      <c r="L20" s="2" t="str">
        <f t="shared" si="2"/>
        <v>T1</v>
      </c>
      <c r="M20" s="2" t="str">
        <f t="shared" si="0"/>
        <v>jan</v>
      </c>
      <c r="N20" s="2">
        <v>1</v>
      </c>
    </row>
    <row r="21" spans="2:14" x14ac:dyDescent="0.3">
      <c r="B21">
        <v>20</v>
      </c>
      <c r="C21" t="s">
        <v>54</v>
      </c>
      <c r="D21" t="s">
        <v>26</v>
      </c>
      <c r="E21" t="s">
        <v>27</v>
      </c>
      <c r="F21" t="s">
        <v>28</v>
      </c>
      <c r="G21" t="s">
        <v>16</v>
      </c>
      <c r="H21">
        <v>28</v>
      </c>
      <c r="I21">
        <v>2</v>
      </c>
      <c r="J21">
        <v>2</v>
      </c>
      <c r="K21" s="2" t="str">
        <f t="shared" si="1"/>
        <v>1º Semestre</v>
      </c>
      <c r="L21" s="2" t="str">
        <f t="shared" si="2"/>
        <v>T1</v>
      </c>
      <c r="M21" s="2" t="str">
        <f t="shared" si="0"/>
        <v>jan</v>
      </c>
      <c r="N21" s="2">
        <v>1</v>
      </c>
    </row>
    <row r="22" spans="2:14" x14ac:dyDescent="0.3">
      <c r="B22">
        <v>21</v>
      </c>
      <c r="C22" t="s">
        <v>55</v>
      </c>
      <c r="D22" t="s">
        <v>13</v>
      </c>
      <c r="E22" t="s">
        <v>14</v>
      </c>
      <c r="F22" t="s">
        <v>15</v>
      </c>
      <c r="G22" t="s">
        <v>16</v>
      </c>
      <c r="H22">
        <v>111</v>
      </c>
      <c r="I22">
        <v>6</v>
      </c>
      <c r="J22">
        <v>4</v>
      </c>
      <c r="K22" s="2" t="str">
        <f t="shared" si="1"/>
        <v>1º Semestre</v>
      </c>
      <c r="L22" s="2" t="str">
        <f t="shared" si="2"/>
        <v>T1</v>
      </c>
      <c r="M22" s="2" t="str">
        <f t="shared" si="0"/>
        <v>fev</v>
      </c>
      <c r="N22" s="2">
        <v>2</v>
      </c>
    </row>
    <row r="23" spans="2:14" x14ac:dyDescent="0.3">
      <c r="B23">
        <v>22</v>
      </c>
      <c r="C23" t="s">
        <v>56</v>
      </c>
      <c r="D23" t="s">
        <v>19</v>
      </c>
      <c r="E23" t="s">
        <v>20</v>
      </c>
      <c r="F23" t="s">
        <v>21</v>
      </c>
      <c r="G23" t="s">
        <v>22</v>
      </c>
      <c r="H23">
        <v>103</v>
      </c>
      <c r="I23">
        <v>8</v>
      </c>
      <c r="J23">
        <v>1</v>
      </c>
      <c r="K23" s="2" t="str">
        <f t="shared" si="1"/>
        <v>1º Semestre</v>
      </c>
      <c r="L23" s="2" t="str">
        <f t="shared" si="2"/>
        <v>T1</v>
      </c>
      <c r="M23" s="2" t="str">
        <f t="shared" si="0"/>
        <v>fev</v>
      </c>
      <c r="N23" s="2">
        <v>2</v>
      </c>
    </row>
    <row r="24" spans="2:14" x14ac:dyDescent="0.3">
      <c r="B24">
        <v>23</v>
      </c>
      <c r="C24" t="s">
        <v>57</v>
      </c>
      <c r="D24" t="s">
        <v>23</v>
      </c>
      <c r="E24" t="s">
        <v>24</v>
      </c>
      <c r="F24" t="s">
        <v>25</v>
      </c>
      <c r="G24" t="s">
        <v>22</v>
      </c>
      <c r="H24">
        <v>42</v>
      </c>
      <c r="I24">
        <v>7</v>
      </c>
      <c r="J24">
        <v>5</v>
      </c>
      <c r="K24" s="2" t="str">
        <f t="shared" si="1"/>
        <v>1º Semestre</v>
      </c>
      <c r="L24" s="2" t="str">
        <f t="shared" si="2"/>
        <v>T1</v>
      </c>
      <c r="M24" s="2" t="str">
        <f t="shared" si="0"/>
        <v>fev</v>
      </c>
      <c r="N24" s="2">
        <v>2</v>
      </c>
    </row>
    <row r="25" spans="2:14" x14ac:dyDescent="0.3">
      <c r="B25">
        <v>24</v>
      </c>
      <c r="C25" t="s">
        <v>58</v>
      </c>
      <c r="D25" t="s">
        <v>26</v>
      </c>
      <c r="E25" t="s">
        <v>27</v>
      </c>
      <c r="F25" t="s">
        <v>28</v>
      </c>
      <c r="G25" t="s">
        <v>16</v>
      </c>
      <c r="H25">
        <v>29</v>
      </c>
      <c r="I25">
        <v>2</v>
      </c>
      <c r="J25">
        <v>2</v>
      </c>
      <c r="K25" s="2" t="str">
        <f t="shared" si="1"/>
        <v>1º Semestre</v>
      </c>
      <c r="L25" s="2" t="str">
        <f t="shared" si="2"/>
        <v>T1</v>
      </c>
      <c r="M25" s="2" t="str">
        <f t="shared" si="0"/>
        <v>fev</v>
      </c>
      <c r="N25" s="2">
        <v>2</v>
      </c>
    </row>
    <row r="26" spans="2:14" x14ac:dyDescent="0.3">
      <c r="B26">
        <v>25</v>
      </c>
      <c r="C26" t="s">
        <v>59</v>
      </c>
      <c r="D26" t="s">
        <v>13</v>
      </c>
      <c r="E26" t="s">
        <v>17</v>
      </c>
      <c r="F26" t="s">
        <v>18</v>
      </c>
      <c r="G26" t="s">
        <v>16</v>
      </c>
      <c r="H26">
        <v>123</v>
      </c>
      <c r="I26">
        <v>3</v>
      </c>
      <c r="J26">
        <v>2</v>
      </c>
      <c r="K26" s="2" t="str">
        <f t="shared" si="1"/>
        <v>1º Semestre</v>
      </c>
      <c r="L26" s="2" t="str">
        <f t="shared" si="2"/>
        <v>T1</v>
      </c>
      <c r="M26" s="2" t="str">
        <f t="shared" si="0"/>
        <v>fev</v>
      </c>
      <c r="N26" s="2">
        <v>2</v>
      </c>
    </row>
    <row r="27" spans="2:14" x14ac:dyDescent="0.3">
      <c r="B27">
        <v>26</v>
      </c>
      <c r="C27" t="s">
        <v>60</v>
      </c>
      <c r="D27" t="s">
        <v>30</v>
      </c>
      <c r="E27" t="s">
        <v>31</v>
      </c>
      <c r="F27" t="s">
        <v>32</v>
      </c>
      <c r="G27" t="s">
        <v>33</v>
      </c>
      <c r="H27">
        <v>30</v>
      </c>
      <c r="I27">
        <v>6</v>
      </c>
      <c r="J27">
        <v>2</v>
      </c>
      <c r="K27" s="2" t="str">
        <f t="shared" si="1"/>
        <v>1º Semestre</v>
      </c>
      <c r="L27" s="2" t="str">
        <f t="shared" si="2"/>
        <v>T1</v>
      </c>
      <c r="M27" s="2" t="str">
        <f t="shared" si="0"/>
        <v>fev</v>
      </c>
      <c r="N27" s="2">
        <v>2</v>
      </c>
    </row>
    <row r="28" spans="2:14" x14ac:dyDescent="0.3">
      <c r="B28">
        <v>27</v>
      </c>
      <c r="C28" t="s">
        <v>61</v>
      </c>
      <c r="D28" t="s">
        <v>19</v>
      </c>
      <c r="E28" t="s">
        <v>34</v>
      </c>
      <c r="F28" t="s">
        <v>35</v>
      </c>
      <c r="G28" t="s">
        <v>36</v>
      </c>
      <c r="H28">
        <v>103</v>
      </c>
      <c r="I28">
        <v>1</v>
      </c>
      <c r="J28">
        <v>1</v>
      </c>
      <c r="K28" s="2" t="str">
        <f t="shared" si="1"/>
        <v>1º Semestre</v>
      </c>
      <c r="L28" s="2" t="str">
        <f t="shared" si="2"/>
        <v>T1</v>
      </c>
      <c r="M28" s="2" t="str">
        <f t="shared" si="0"/>
        <v>fev</v>
      </c>
      <c r="N28" s="2">
        <v>2</v>
      </c>
    </row>
    <row r="29" spans="2:14" x14ac:dyDescent="0.3">
      <c r="B29">
        <v>28</v>
      </c>
      <c r="C29" t="s">
        <v>62</v>
      </c>
      <c r="D29" t="s">
        <v>13</v>
      </c>
      <c r="E29" t="s">
        <v>37</v>
      </c>
      <c r="F29" t="s">
        <v>38</v>
      </c>
      <c r="G29" t="s">
        <v>22</v>
      </c>
      <c r="H29">
        <v>102</v>
      </c>
      <c r="I29">
        <v>4</v>
      </c>
      <c r="J29">
        <v>3</v>
      </c>
      <c r="K29" s="2" t="str">
        <f t="shared" si="1"/>
        <v>1º Semestre</v>
      </c>
      <c r="L29" s="2" t="str">
        <f t="shared" si="2"/>
        <v>T1</v>
      </c>
      <c r="M29" s="2" t="str">
        <f t="shared" si="0"/>
        <v>fev</v>
      </c>
      <c r="N29" s="2">
        <v>2</v>
      </c>
    </row>
    <row r="30" spans="2:14" x14ac:dyDescent="0.3">
      <c r="B30">
        <v>29</v>
      </c>
      <c r="C30" t="s">
        <v>63</v>
      </c>
      <c r="D30" t="s">
        <v>26</v>
      </c>
      <c r="E30" t="s">
        <v>14</v>
      </c>
      <c r="F30" t="s">
        <v>29</v>
      </c>
      <c r="G30" t="s">
        <v>16</v>
      </c>
      <c r="H30">
        <v>28</v>
      </c>
      <c r="I30">
        <v>4</v>
      </c>
      <c r="J30">
        <v>2</v>
      </c>
      <c r="K30" s="2" t="str">
        <f t="shared" si="1"/>
        <v>1º Semestre</v>
      </c>
      <c r="L30" s="2" t="str">
        <f t="shared" si="2"/>
        <v>T1</v>
      </c>
      <c r="M30" s="2" t="str">
        <f t="shared" si="0"/>
        <v>fev</v>
      </c>
      <c r="N30" s="2">
        <v>2</v>
      </c>
    </row>
    <row r="31" spans="2:14" x14ac:dyDescent="0.3">
      <c r="B31">
        <v>30</v>
      </c>
      <c r="C31" t="s">
        <v>64</v>
      </c>
      <c r="D31" t="s">
        <v>23</v>
      </c>
      <c r="E31" t="s">
        <v>20</v>
      </c>
      <c r="F31" t="s">
        <v>41</v>
      </c>
      <c r="G31" t="s">
        <v>33</v>
      </c>
      <c r="H31">
        <v>41</v>
      </c>
      <c r="I31">
        <v>10</v>
      </c>
      <c r="J31">
        <v>1</v>
      </c>
      <c r="K31" s="2" t="str">
        <f t="shared" si="1"/>
        <v>1º Semestre</v>
      </c>
      <c r="L31" s="2" t="str">
        <f t="shared" si="2"/>
        <v>T1</v>
      </c>
      <c r="M31" s="2" t="str">
        <f t="shared" si="0"/>
        <v>fev</v>
      </c>
      <c r="N31" s="2">
        <v>2</v>
      </c>
    </row>
    <row r="32" spans="2:14" x14ac:dyDescent="0.3">
      <c r="B32">
        <v>31</v>
      </c>
      <c r="C32" t="s">
        <v>65</v>
      </c>
      <c r="D32" t="s">
        <v>13</v>
      </c>
      <c r="E32" t="s">
        <v>43</v>
      </c>
      <c r="F32" t="s">
        <v>44</v>
      </c>
      <c r="G32" t="s">
        <v>22</v>
      </c>
      <c r="H32">
        <v>130</v>
      </c>
      <c r="I32">
        <v>6</v>
      </c>
      <c r="J32">
        <v>4</v>
      </c>
      <c r="K32" s="2" t="str">
        <f t="shared" si="1"/>
        <v>1º Semestre</v>
      </c>
      <c r="L32" s="2" t="str">
        <f t="shared" si="2"/>
        <v>T1</v>
      </c>
      <c r="M32" s="2" t="str">
        <f t="shared" si="0"/>
        <v>fev</v>
      </c>
      <c r="N32" s="2">
        <v>2</v>
      </c>
    </row>
    <row r="33" spans="2:14" x14ac:dyDescent="0.3">
      <c r="B33">
        <v>32</v>
      </c>
      <c r="C33" t="s">
        <v>66</v>
      </c>
      <c r="D33" t="s">
        <v>19</v>
      </c>
      <c r="E33" t="s">
        <v>24</v>
      </c>
      <c r="F33" t="s">
        <v>46</v>
      </c>
      <c r="G33" t="s">
        <v>22</v>
      </c>
      <c r="H33">
        <v>105</v>
      </c>
      <c r="I33">
        <v>5</v>
      </c>
      <c r="J33">
        <v>3</v>
      </c>
      <c r="K33" s="2" t="str">
        <f t="shared" si="1"/>
        <v>1º Semestre</v>
      </c>
      <c r="L33" s="2" t="str">
        <f t="shared" si="2"/>
        <v>T1</v>
      </c>
      <c r="M33" s="2" t="str">
        <f t="shared" si="0"/>
        <v>fev</v>
      </c>
      <c r="N33" s="2">
        <v>2</v>
      </c>
    </row>
    <row r="34" spans="2:14" x14ac:dyDescent="0.3">
      <c r="B34">
        <v>33</v>
      </c>
      <c r="C34" t="s">
        <v>67</v>
      </c>
      <c r="D34" t="s">
        <v>30</v>
      </c>
      <c r="E34" t="s">
        <v>31</v>
      </c>
      <c r="F34" t="s">
        <v>32</v>
      </c>
      <c r="G34" t="s">
        <v>33</v>
      </c>
      <c r="H34">
        <v>30</v>
      </c>
      <c r="I34">
        <v>7</v>
      </c>
      <c r="J34">
        <v>3</v>
      </c>
      <c r="K34" s="2" t="str">
        <f t="shared" si="1"/>
        <v>1º Semestre</v>
      </c>
      <c r="L34" s="2" t="str">
        <f t="shared" si="2"/>
        <v>T1</v>
      </c>
      <c r="M34" s="2" t="str">
        <f t="shared" si="0"/>
        <v>fev</v>
      </c>
      <c r="N34" s="2">
        <v>2</v>
      </c>
    </row>
    <row r="35" spans="2:14" x14ac:dyDescent="0.3">
      <c r="B35">
        <v>34</v>
      </c>
      <c r="C35" t="s">
        <v>68</v>
      </c>
      <c r="D35" t="s">
        <v>13</v>
      </c>
      <c r="E35" t="s">
        <v>17</v>
      </c>
      <c r="F35" t="s">
        <v>50</v>
      </c>
      <c r="G35" t="s">
        <v>16</v>
      </c>
      <c r="H35">
        <v>115</v>
      </c>
      <c r="I35">
        <v>3</v>
      </c>
      <c r="J35">
        <v>2</v>
      </c>
      <c r="K35" s="2" t="str">
        <f t="shared" si="1"/>
        <v>1º Semestre</v>
      </c>
      <c r="L35" s="2" t="str">
        <f t="shared" si="2"/>
        <v>T1</v>
      </c>
      <c r="M35" s="2" t="str">
        <f t="shared" si="0"/>
        <v>fev</v>
      </c>
      <c r="N35" s="2">
        <v>2</v>
      </c>
    </row>
    <row r="36" spans="2:14" x14ac:dyDescent="0.3">
      <c r="B36">
        <v>35</v>
      </c>
      <c r="C36" t="s">
        <v>69</v>
      </c>
      <c r="D36" t="s">
        <v>26</v>
      </c>
      <c r="E36" t="s">
        <v>27</v>
      </c>
      <c r="F36" t="s">
        <v>39</v>
      </c>
      <c r="G36" t="s">
        <v>16</v>
      </c>
      <c r="H36">
        <v>30</v>
      </c>
      <c r="I36">
        <v>2</v>
      </c>
      <c r="J36">
        <v>2</v>
      </c>
      <c r="K36" s="2" t="str">
        <f t="shared" si="1"/>
        <v>1º Semestre</v>
      </c>
      <c r="L36" s="2" t="str">
        <f t="shared" si="2"/>
        <v>T1</v>
      </c>
      <c r="M36" s="2" t="str">
        <f t="shared" si="0"/>
        <v>fev</v>
      </c>
      <c r="N36" s="2">
        <v>2</v>
      </c>
    </row>
    <row r="37" spans="2:14" x14ac:dyDescent="0.3">
      <c r="B37">
        <v>36</v>
      </c>
      <c r="C37" t="s">
        <v>70</v>
      </c>
      <c r="D37" t="s">
        <v>19</v>
      </c>
      <c r="E37" t="s">
        <v>20</v>
      </c>
      <c r="F37" t="s">
        <v>21</v>
      </c>
      <c r="G37" t="s">
        <v>22</v>
      </c>
      <c r="H37">
        <v>102</v>
      </c>
      <c r="I37">
        <v>9</v>
      </c>
      <c r="J37">
        <v>2</v>
      </c>
      <c r="K37" s="2" t="str">
        <f t="shared" si="1"/>
        <v>1º Semestre</v>
      </c>
      <c r="L37" s="2" t="str">
        <f t="shared" si="2"/>
        <v>T1</v>
      </c>
      <c r="M37" s="2" t="str">
        <f t="shared" si="0"/>
        <v>fev</v>
      </c>
      <c r="N37" s="2">
        <v>2</v>
      </c>
    </row>
    <row r="38" spans="2:14" x14ac:dyDescent="0.3">
      <c r="B38">
        <v>37</v>
      </c>
      <c r="C38" t="s">
        <v>71</v>
      </c>
      <c r="D38" t="s">
        <v>13</v>
      </c>
      <c r="E38" t="s">
        <v>14</v>
      </c>
      <c r="F38" t="s">
        <v>15</v>
      </c>
      <c r="G38" t="s">
        <v>16</v>
      </c>
      <c r="H38">
        <v>107</v>
      </c>
      <c r="I38">
        <v>5</v>
      </c>
      <c r="J38">
        <v>3</v>
      </c>
      <c r="K38" s="2" t="str">
        <f t="shared" si="1"/>
        <v>1º Semestre</v>
      </c>
      <c r="L38" s="2" t="str">
        <f t="shared" si="2"/>
        <v>T1</v>
      </c>
      <c r="M38" s="2" t="str">
        <f t="shared" si="0"/>
        <v>mar</v>
      </c>
      <c r="N38" s="2">
        <v>3</v>
      </c>
    </row>
    <row r="39" spans="2:14" x14ac:dyDescent="0.3">
      <c r="B39">
        <v>38</v>
      </c>
      <c r="C39" t="s">
        <v>72</v>
      </c>
      <c r="D39" t="s">
        <v>19</v>
      </c>
      <c r="E39" t="s">
        <v>20</v>
      </c>
      <c r="F39" t="s">
        <v>21</v>
      </c>
      <c r="G39" t="s">
        <v>22</v>
      </c>
      <c r="H39">
        <v>102</v>
      </c>
      <c r="I39">
        <v>7</v>
      </c>
      <c r="J39">
        <v>1</v>
      </c>
      <c r="K39" s="2" t="str">
        <f t="shared" si="1"/>
        <v>1º Semestre</v>
      </c>
      <c r="L39" s="2" t="str">
        <f t="shared" si="2"/>
        <v>T1</v>
      </c>
      <c r="M39" s="2" t="str">
        <f t="shared" si="0"/>
        <v>mar</v>
      </c>
      <c r="N39" s="2">
        <v>3</v>
      </c>
    </row>
    <row r="40" spans="2:14" x14ac:dyDescent="0.3">
      <c r="B40">
        <v>39</v>
      </c>
      <c r="C40" t="s">
        <v>73</v>
      </c>
      <c r="D40" t="s">
        <v>23</v>
      </c>
      <c r="E40" t="s">
        <v>24</v>
      </c>
      <c r="F40" t="s">
        <v>25</v>
      </c>
      <c r="G40" t="s">
        <v>22</v>
      </c>
      <c r="H40">
        <v>42</v>
      </c>
      <c r="I40">
        <v>6</v>
      </c>
      <c r="J40">
        <v>4</v>
      </c>
      <c r="K40" s="2" t="str">
        <f t="shared" si="1"/>
        <v>1º Semestre</v>
      </c>
      <c r="L40" s="2" t="str">
        <f t="shared" si="2"/>
        <v>T1</v>
      </c>
      <c r="M40" s="2" t="str">
        <f t="shared" si="0"/>
        <v>mar</v>
      </c>
      <c r="N40" s="2">
        <v>3</v>
      </c>
    </row>
    <row r="41" spans="2:14" x14ac:dyDescent="0.3">
      <c r="B41">
        <v>40</v>
      </c>
      <c r="C41" t="s">
        <v>74</v>
      </c>
      <c r="D41" t="s">
        <v>26</v>
      </c>
      <c r="E41" t="s">
        <v>27</v>
      </c>
      <c r="F41" t="s">
        <v>28</v>
      </c>
      <c r="G41" t="s">
        <v>16</v>
      </c>
      <c r="H41">
        <v>30</v>
      </c>
      <c r="I41">
        <v>2</v>
      </c>
      <c r="J41">
        <v>2</v>
      </c>
      <c r="K41" s="2" t="str">
        <f t="shared" si="1"/>
        <v>1º Semestre</v>
      </c>
      <c r="L41" s="2" t="str">
        <f t="shared" si="2"/>
        <v>T1</v>
      </c>
      <c r="M41" s="2" t="str">
        <f t="shared" si="0"/>
        <v>mar</v>
      </c>
      <c r="N41" s="2">
        <v>3</v>
      </c>
    </row>
    <row r="42" spans="2:14" x14ac:dyDescent="0.3">
      <c r="B42">
        <v>41</v>
      </c>
      <c r="C42" t="s">
        <v>75</v>
      </c>
      <c r="D42" t="s">
        <v>13</v>
      </c>
      <c r="E42" t="s">
        <v>17</v>
      </c>
      <c r="F42" t="s">
        <v>18</v>
      </c>
      <c r="G42" t="s">
        <v>16</v>
      </c>
      <c r="H42">
        <v>119</v>
      </c>
      <c r="I42">
        <v>2</v>
      </c>
      <c r="J42">
        <v>1</v>
      </c>
      <c r="K42" s="2" t="str">
        <f t="shared" si="1"/>
        <v>1º Semestre</v>
      </c>
      <c r="L42" s="2" t="str">
        <f t="shared" si="2"/>
        <v>T1</v>
      </c>
      <c r="M42" s="2" t="str">
        <f t="shared" si="0"/>
        <v>mar</v>
      </c>
      <c r="N42" s="2">
        <v>3</v>
      </c>
    </row>
    <row r="43" spans="2:14" x14ac:dyDescent="0.3">
      <c r="B43">
        <v>42</v>
      </c>
      <c r="C43" t="s">
        <v>76</v>
      </c>
      <c r="D43" t="s">
        <v>30</v>
      </c>
      <c r="E43" t="s">
        <v>31</v>
      </c>
      <c r="F43" t="s">
        <v>32</v>
      </c>
      <c r="G43" t="s">
        <v>33</v>
      </c>
      <c r="H43">
        <v>30</v>
      </c>
      <c r="I43">
        <v>5</v>
      </c>
      <c r="J43">
        <v>1</v>
      </c>
      <c r="K43" s="2" t="str">
        <f t="shared" si="1"/>
        <v>1º Semestre</v>
      </c>
      <c r="L43" s="2" t="str">
        <f t="shared" si="2"/>
        <v>T1</v>
      </c>
      <c r="M43" s="2" t="str">
        <f t="shared" si="0"/>
        <v>mar</v>
      </c>
      <c r="N43" s="2">
        <v>3</v>
      </c>
    </row>
    <row r="44" spans="2:14" x14ac:dyDescent="0.3">
      <c r="B44">
        <v>43</v>
      </c>
      <c r="C44" t="s">
        <v>77</v>
      </c>
      <c r="D44" t="s">
        <v>13</v>
      </c>
      <c r="E44" t="s">
        <v>37</v>
      </c>
      <c r="F44" t="s">
        <v>38</v>
      </c>
      <c r="G44" t="s">
        <v>22</v>
      </c>
      <c r="H44">
        <v>115</v>
      </c>
      <c r="I44">
        <v>4</v>
      </c>
      <c r="J44">
        <v>3</v>
      </c>
      <c r="K44" s="2" t="str">
        <f t="shared" si="1"/>
        <v>1º Semestre</v>
      </c>
      <c r="L44" s="2" t="str">
        <f t="shared" si="2"/>
        <v>T1</v>
      </c>
      <c r="M44" s="2" t="str">
        <f t="shared" si="0"/>
        <v>mar</v>
      </c>
      <c r="N44" s="2">
        <v>3</v>
      </c>
    </row>
    <row r="45" spans="2:14" x14ac:dyDescent="0.3">
      <c r="B45">
        <v>44</v>
      </c>
      <c r="C45" t="s">
        <v>78</v>
      </c>
      <c r="D45" t="s">
        <v>26</v>
      </c>
      <c r="E45" t="s">
        <v>14</v>
      </c>
      <c r="F45" t="s">
        <v>29</v>
      </c>
      <c r="G45" t="s">
        <v>16</v>
      </c>
      <c r="H45">
        <v>30</v>
      </c>
      <c r="I45">
        <v>3</v>
      </c>
      <c r="J45">
        <v>2</v>
      </c>
      <c r="K45" s="2" t="str">
        <f t="shared" si="1"/>
        <v>1º Semestre</v>
      </c>
      <c r="L45" s="2" t="str">
        <f t="shared" si="2"/>
        <v>T1</v>
      </c>
      <c r="M45" s="2" t="str">
        <f t="shared" si="0"/>
        <v>mar</v>
      </c>
      <c r="N45" s="2">
        <v>3</v>
      </c>
    </row>
    <row r="46" spans="2:14" x14ac:dyDescent="0.3">
      <c r="B46">
        <v>45</v>
      </c>
      <c r="C46" t="s">
        <v>79</v>
      </c>
      <c r="D46" t="s">
        <v>23</v>
      </c>
      <c r="E46" t="s">
        <v>20</v>
      </c>
      <c r="F46" t="s">
        <v>41</v>
      </c>
      <c r="G46" t="s">
        <v>33</v>
      </c>
      <c r="H46">
        <v>41</v>
      </c>
      <c r="I46">
        <v>9</v>
      </c>
      <c r="J46">
        <v>1</v>
      </c>
      <c r="K46" s="2" t="str">
        <f t="shared" si="1"/>
        <v>1º Semestre</v>
      </c>
      <c r="L46" s="2" t="str">
        <f t="shared" si="2"/>
        <v>T1</v>
      </c>
      <c r="M46" s="2" t="str">
        <f t="shared" si="0"/>
        <v>mar</v>
      </c>
      <c r="N46" s="2">
        <v>3</v>
      </c>
    </row>
    <row r="47" spans="2:14" x14ac:dyDescent="0.3">
      <c r="B47">
        <v>46</v>
      </c>
      <c r="C47" t="s">
        <v>80</v>
      </c>
      <c r="D47" t="s">
        <v>13</v>
      </c>
      <c r="E47" t="s">
        <v>43</v>
      </c>
      <c r="F47" t="s">
        <v>44</v>
      </c>
      <c r="G47" t="s">
        <v>22</v>
      </c>
      <c r="H47">
        <v>113</v>
      </c>
      <c r="I47">
        <v>5</v>
      </c>
      <c r="J47">
        <v>3</v>
      </c>
      <c r="K47" s="2" t="str">
        <f t="shared" si="1"/>
        <v>1º Semestre</v>
      </c>
      <c r="L47" s="2" t="str">
        <f t="shared" si="2"/>
        <v>T1</v>
      </c>
      <c r="M47" s="2" t="str">
        <f t="shared" si="0"/>
        <v>mar</v>
      </c>
      <c r="N47" s="2">
        <v>3</v>
      </c>
    </row>
    <row r="48" spans="2:14" x14ac:dyDescent="0.3">
      <c r="B48">
        <v>47</v>
      </c>
      <c r="C48" t="s">
        <v>81</v>
      </c>
      <c r="D48" t="s">
        <v>19</v>
      </c>
      <c r="E48" t="s">
        <v>24</v>
      </c>
      <c r="F48" t="s">
        <v>46</v>
      </c>
      <c r="G48" t="s">
        <v>22</v>
      </c>
      <c r="H48">
        <v>100</v>
      </c>
      <c r="I48">
        <v>5</v>
      </c>
      <c r="J48">
        <v>3</v>
      </c>
      <c r="K48" s="2" t="str">
        <f t="shared" si="1"/>
        <v>1º Semestre</v>
      </c>
      <c r="L48" s="2" t="str">
        <f t="shared" si="2"/>
        <v>T1</v>
      </c>
      <c r="M48" s="2" t="str">
        <f t="shared" si="0"/>
        <v>mar</v>
      </c>
      <c r="N48" s="2">
        <v>3</v>
      </c>
    </row>
    <row r="49" spans="2:14" x14ac:dyDescent="0.3">
      <c r="B49">
        <v>48</v>
      </c>
      <c r="C49" t="s">
        <v>82</v>
      </c>
      <c r="D49" t="s">
        <v>30</v>
      </c>
      <c r="E49" t="s">
        <v>31</v>
      </c>
      <c r="F49" t="s">
        <v>32</v>
      </c>
      <c r="G49" t="s">
        <v>33</v>
      </c>
      <c r="H49">
        <v>30</v>
      </c>
      <c r="I49">
        <v>6</v>
      </c>
      <c r="J49">
        <v>2</v>
      </c>
      <c r="K49" s="2" t="str">
        <f t="shared" si="1"/>
        <v>1º Semestre</v>
      </c>
      <c r="L49" s="2" t="str">
        <f t="shared" si="2"/>
        <v>T1</v>
      </c>
      <c r="M49" s="2" t="str">
        <f t="shared" si="0"/>
        <v>mar</v>
      </c>
      <c r="N49" s="2">
        <v>3</v>
      </c>
    </row>
    <row r="50" spans="2:14" x14ac:dyDescent="0.3">
      <c r="B50">
        <v>49</v>
      </c>
      <c r="C50" t="s">
        <v>83</v>
      </c>
      <c r="D50" t="s">
        <v>13</v>
      </c>
      <c r="E50" t="s">
        <v>17</v>
      </c>
      <c r="F50" t="s">
        <v>50</v>
      </c>
      <c r="G50" t="s">
        <v>16</v>
      </c>
      <c r="H50">
        <v>127</v>
      </c>
      <c r="I50">
        <v>2</v>
      </c>
      <c r="J50">
        <v>2</v>
      </c>
      <c r="K50" s="2" t="str">
        <f t="shared" si="1"/>
        <v>1º Semestre</v>
      </c>
      <c r="L50" s="2" t="str">
        <f t="shared" si="2"/>
        <v>T1</v>
      </c>
      <c r="M50" s="2" t="str">
        <f t="shared" si="0"/>
        <v>mar</v>
      </c>
      <c r="N50" s="2">
        <v>3</v>
      </c>
    </row>
    <row r="51" spans="2:14" x14ac:dyDescent="0.3">
      <c r="B51">
        <v>50</v>
      </c>
      <c r="C51" t="s">
        <v>84</v>
      </c>
      <c r="D51" t="s">
        <v>26</v>
      </c>
      <c r="E51" t="s">
        <v>27</v>
      </c>
      <c r="F51" t="s">
        <v>39</v>
      </c>
      <c r="G51" t="s">
        <v>16</v>
      </c>
      <c r="H51">
        <v>30</v>
      </c>
      <c r="I51">
        <v>2</v>
      </c>
      <c r="J51">
        <v>1</v>
      </c>
      <c r="K51" s="2" t="str">
        <f t="shared" si="1"/>
        <v>1º Semestre</v>
      </c>
      <c r="L51" s="2" t="str">
        <f t="shared" si="2"/>
        <v>T1</v>
      </c>
      <c r="M51" s="2" t="str">
        <f t="shared" si="0"/>
        <v>mar</v>
      </c>
      <c r="N51" s="2">
        <v>3</v>
      </c>
    </row>
    <row r="52" spans="2:14" x14ac:dyDescent="0.3">
      <c r="B52">
        <v>51</v>
      </c>
      <c r="C52" t="s">
        <v>85</v>
      </c>
      <c r="D52" t="s">
        <v>19</v>
      </c>
      <c r="E52" t="s">
        <v>20</v>
      </c>
      <c r="F52" t="s">
        <v>21</v>
      </c>
      <c r="G52" t="s">
        <v>22</v>
      </c>
      <c r="H52">
        <v>96</v>
      </c>
      <c r="I52">
        <v>7</v>
      </c>
      <c r="J52">
        <v>1</v>
      </c>
      <c r="K52" s="2" t="str">
        <f t="shared" si="1"/>
        <v>1º Semestre</v>
      </c>
      <c r="L52" s="2" t="str">
        <f t="shared" si="2"/>
        <v>T1</v>
      </c>
      <c r="M52" s="2" t="str">
        <f t="shared" si="0"/>
        <v>mar</v>
      </c>
      <c r="N52" s="2">
        <v>3</v>
      </c>
    </row>
    <row r="53" spans="2:14" x14ac:dyDescent="0.3">
      <c r="B53">
        <v>52</v>
      </c>
      <c r="C53" t="s">
        <v>86</v>
      </c>
      <c r="D53" t="s">
        <v>13</v>
      </c>
      <c r="E53" t="s">
        <v>14</v>
      </c>
      <c r="F53" t="s">
        <v>15</v>
      </c>
      <c r="G53" t="s">
        <v>16</v>
      </c>
      <c r="H53">
        <v>105</v>
      </c>
      <c r="I53">
        <v>4</v>
      </c>
      <c r="J53">
        <v>2</v>
      </c>
      <c r="K53" s="2" t="str">
        <f t="shared" si="1"/>
        <v>1º Semestre</v>
      </c>
      <c r="L53" s="2" t="str">
        <f t="shared" si="2"/>
        <v>T1</v>
      </c>
      <c r="M53" s="2" t="str">
        <f t="shared" si="0"/>
        <v>mar</v>
      </c>
      <c r="N53" s="2">
        <v>3</v>
      </c>
    </row>
    <row r="54" spans="2:14" x14ac:dyDescent="0.3">
      <c r="B54">
        <v>53</v>
      </c>
      <c r="C54" t="s">
        <v>87</v>
      </c>
      <c r="D54" t="s">
        <v>23</v>
      </c>
      <c r="E54" t="s">
        <v>24</v>
      </c>
      <c r="F54" t="s">
        <v>25</v>
      </c>
      <c r="G54" t="s">
        <v>22</v>
      </c>
      <c r="H54">
        <v>42</v>
      </c>
      <c r="I54">
        <v>5</v>
      </c>
      <c r="J54">
        <v>3</v>
      </c>
      <c r="K54" s="2" t="str">
        <f t="shared" si="1"/>
        <v>1º Semestre</v>
      </c>
      <c r="L54" s="2" t="str">
        <f t="shared" si="2"/>
        <v>T1</v>
      </c>
      <c r="M54" s="2" t="str">
        <f t="shared" si="0"/>
        <v>mar</v>
      </c>
      <c r="N54" s="2">
        <v>3</v>
      </c>
    </row>
    <row r="55" spans="2:14" x14ac:dyDescent="0.3">
      <c r="B55">
        <v>54</v>
      </c>
      <c r="C55" t="s">
        <v>88</v>
      </c>
      <c r="D55" t="s">
        <v>13</v>
      </c>
      <c r="E55" t="s">
        <v>34</v>
      </c>
      <c r="F55" t="s">
        <v>35</v>
      </c>
      <c r="G55" t="s">
        <v>36</v>
      </c>
      <c r="H55">
        <v>121</v>
      </c>
      <c r="I55">
        <v>1</v>
      </c>
      <c r="J55">
        <v>1</v>
      </c>
      <c r="K55" s="2" t="str">
        <f t="shared" si="1"/>
        <v>1º Semestre</v>
      </c>
      <c r="L55" s="2" t="str">
        <f t="shared" si="2"/>
        <v>T1</v>
      </c>
      <c r="M55" s="2" t="str">
        <f t="shared" si="0"/>
        <v>mar</v>
      </c>
      <c r="N55" s="2">
        <v>3</v>
      </c>
    </row>
    <row r="56" spans="2:14" x14ac:dyDescent="0.3">
      <c r="B56">
        <v>55</v>
      </c>
      <c r="C56" t="s">
        <v>89</v>
      </c>
      <c r="D56" t="s">
        <v>26</v>
      </c>
      <c r="E56" t="s">
        <v>14</v>
      </c>
      <c r="F56" t="s">
        <v>29</v>
      </c>
      <c r="G56" t="s">
        <v>16</v>
      </c>
      <c r="H56">
        <v>26</v>
      </c>
      <c r="I56">
        <v>3</v>
      </c>
      <c r="J56">
        <v>2</v>
      </c>
      <c r="K56" s="2" t="str">
        <f t="shared" si="1"/>
        <v>1º Semestre</v>
      </c>
      <c r="L56" s="2" t="str">
        <f t="shared" si="2"/>
        <v>T1</v>
      </c>
      <c r="M56" s="2" t="str">
        <f t="shared" si="0"/>
        <v>mar</v>
      </c>
      <c r="N56" s="2">
        <v>3</v>
      </c>
    </row>
    <row r="57" spans="2:14" x14ac:dyDescent="0.3">
      <c r="B57">
        <v>56</v>
      </c>
      <c r="C57" t="s">
        <v>89</v>
      </c>
      <c r="D57" t="s">
        <v>13</v>
      </c>
      <c r="E57" t="s">
        <v>20</v>
      </c>
      <c r="F57" t="s">
        <v>21</v>
      </c>
      <c r="G57" t="s">
        <v>22</v>
      </c>
      <c r="H57">
        <v>109</v>
      </c>
      <c r="I57">
        <v>6</v>
      </c>
      <c r="J57">
        <v>1</v>
      </c>
      <c r="K57" s="2" t="str">
        <f t="shared" si="1"/>
        <v>1º Semestre</v>
      </c>
      <c r="L57" s="2" t="str">
        <f t="shared" si="2"/>
        <v>T1</v>
      </c>
      <c r="M57" s="2" t="str">
        <f t="shared" si="0"/>
        <v>mar</v>
      </c>
      <c r="N57" s="2">
        <v>3</v>
      </c>
    </row>
    <row r="58" spans="2:14" x14ac:dyDescent="0.3">
      <c r="B58">
        <v>57</v>
      </c>
      <c r="C58" t="s">
        <v>90</v>
      </c>
      <c r="D58" t="s">
        <v>30</v>
      </c>
      <c r="E58" t="s">
        <v>31</v>
      </c>
      <c r="F58" t="s">
        <v>32</v>
      </c>
      <c r="G58" t="s">
        <v>33</v>
      </c>
      <c r="H58">
        <v>30</v>
      </c>
      <c r="I58">
        <v>5</v>
      </c>
      <c r="J58">
        <v>3</v>
      </c>
      <c r="K58" s="2" t="str">
        <f t="shared" si="1"/>
        <v>1º Semestre</v>
      </c>
      <c r="L58" s="2" t="str">
        <f t="shared" si="2"/>
        <v>T1</v>
      </c>
      <c r="M58" s="2" t="str">
        <f t="shared" si="0"/>
        <v>mar</v>
      </c>
      <c r="N58" s="2">
        <v>3</v>
      </c>
    </row>
    <row r="59" spans="2:14" x14ac:dyDescent="0.3">
      <c r="B59">
        <v>58</v>
      </c>
      <c r="C59" t="s">
        <v>91</v>
      </c>
      <c r="D59" t="s">
        <v>19</v>
      </c>
      <c r="E59" t="s">
        <v>37</v>
      </c>
      <c r="F59" t="s">
        <v>38</v>
      </c>
      <c r="G59" t="s">
        <v>22</v>
      </c>
      <c r="H59">
        <v>94</v>
      </c>
      <c r="I59">
        <v>3</v>
      </c>
      <c r="J59">
        <v>2</v>
      </c>
      <c r="K59" s="2" t="str">
        <f t="shared" si="1"/>
        <v>1º Semestre</v>
      </c>
      <c r="L59" s="2" t="str">
        <f t="shared" si="2"/>
        <v>T1</v>
      </c>
      <c r="M59" s="2" t="str">
        <f t="shared" si="0"/>
        <v>mar</v>
      </c>
      <c r="N59" s="2">
        <v>3</v>
      </c>
    </row>
    <row r="60" spans="2:14" x14ac:dyDescent="0.3">
      <c r="B60">
        <v>59</v>
      </c>
      <c r="C60" t="s">
        <v>92</v>
      </c>
      <c r="D60" t="s">
        <v>13</v>
      </c>
      <c r="E60" t="s">
        <v>43</v>
      </c>
      <c r="F60" t="s">
        <v>44</v>
      </c>
      <c r="G60" t="s">
        <v>22</v>
      </c>
      <c r="H60">
        <v>130</v>
      </c>
      <c r="I60">
        <v>4</v>
      </c>
      <c r="J60">
        <v>3</v>
      </c>
      <c r="K60" s="2" t="str">
        <f t="shared" si="1"/>
        <v>1º Semestre</v>
      </c>
      <c r="L60" s="2" t="str">
        <f t="shared" si="2"/>
        <v>T1</v>
      </c>
      <c r="M60" s="2" t="str">
        <f t="shared" si="0"/>
        <v>mar</v>
      </c>
      <c r="N60" s="2">
        <v>3</v>
      </c>
    </row>
    <row r="61" spans="2:14" x14ac:dyDescent="0.3">
      <c r="B61">
        <v>60</v>
      </c>
      <c r="C61" t="s">
        <v>92</v>
      </c>
      <c r="D61" t="s">
        <v>23</v>
      </c>
      <c r="E61" t="s">
        <v>20</v>
      </c>
      <c r="F61" t="s">
        <v>41</v>
      </c>
      <c r="G61" t="s">
        <v>33</v>
      </c>
      <c r="H61">
        <v>42</v>
      </c>
      <c r="I61">
        <v>8</v>
      </c>
      <c r="J61">
        <v>1</v>
      </c>
      <c r="K61" s="2" t="str">
        <f t="shared" si="1"/>
        <v>1º Semestre</v>
      </c>
      <c r="L61" s="2" t="str">
        <f t="shared" si="2"/>
        <v>T1</v>
      </c>
      <c r="M61" s="2" t="str">
        <f t="shared" si="0"/>
        <v>mar</v>
      </c>
      <c r="N61" s="2">
        <v>3</v>
      </c>
    </row>
    <row r="62" spans="2:14" x14ac:dyDescent="0.3">
      <c r="B62" s="2">
        <v>61</v>
      </c>
      <c r="C62" s="3">
        <v>45749</v>
      </c>
      <c r="D62" s="4" t="s">
        <v>13</v>
      </c>
      <c r="E62" s="4" t="s">
        <v>14</v>
      </c>
      <c r="F62" s="4" t="s">
        <v>15</v>
      </c>
      <c r="G62" s="4" t="s">
        <v>16</v>
      </c>
      <c r="H62" s="2">
        <v>115</v>
      </c>
      <c r="I62" s="2">
        <v>4</v>
      </c>
      <c r="J62" s="2">
        <v>2</v>
      </c>
      <c r="K62" s="2" t="str">
        <f t="shared" si="1"/>
        <v>1º Semestre</v>
      </c>
      <c r="L62" s="2" t="str">
        <f t="shared" si="2"/>
        <v>T2</v>
      </c>
      <c r="M62" s="2" t="str">
        <f t="shared" si="0"/>
        <v>abr</v>
      </c>
      <c r="N62" s="2">
        <v>4</v>
      </c>
    </row>
    <row r="63" spans="2:14" x14ac:dyDescent="0.3">
      <c r="B63" s="2">
        <v>62</v>
      </c>
      <c r="C63" s="3">
        <v>45750</v>
      </c>
      <c r="D63" s="4" t="s">
        <v>19</v>
      </c>
      <c r="E63" s="4" t="s">
        <v>20</v>
      </c>
      <c r="F63" s="4" t="s">
        <v>21</v>
      </c>
      <c r="G63" s="4" t="s">
        <v>22</v>
      </c>
      <c r="H63" s="2">
        <v>96</v>
      </c>
      <c r="I63" s="2">
        <v>7</v>
      </c>
      <c r="J63" s="2">
        <v>1</v>
      </c>
      <c r="K63" s="2" t="str">
        <f t="shared" si="1"/>
        <v>1º Semestre</v>
      </c>
      <c r="L63" s="2" t="str">
        <f t="shared" si="2"/>
        <v>T2</v>
      </c>
      <c r="M63" s="2" t="str">
        <f t="shared" si="0"/>
        <v>abr</v>
      </c>
      <c r="N63" s="2">
        <v>4</v>
      </c>
    </row>
    <row r="64" spans="2:14" x14ac:dyDescent="0.3">
      <c r="B64" s="2">
        <v>63</v>
      </c>
      <c r="C64" s="3">
        <v>45751</v>
      </c>
      <c r="D64" s="4" t="s">
        <v>23</v>
      </c>
      <c r="E64" s="4" t="s">
        <v>24</v>
      </c>
      <c r="F64" s="4" t="s">
        <v>25</v>
      </c>
      <c r="G64" s="4" t="s">
        <v>22</v>
      </c>
      <c r="H64" s="2">
        <v>42</v>
      </c>
      <c r="I64" s="2">
        <v>5</v>
      </c>
      <c r="J64" s="2">
        <v>3</v>
      </c>
      <c r="K64" s="2" t="str">
        <f t="shared" si="1"/>
        <v>1º Semestre</v>
      </c>
      <c r="L64" s="2" t="str">
        <f t="shared" si="2"/>
        <v>T2</v>
      </c>
      <c r="M64" s="2" t="str">
        <f t="shared" si="0"/>
        <v>abr</v>
      </c>
      <c r="N64" s="2">
        <v>4</v>
      </c>
    </row>
    <row r="65" spans="2:14" x14ac:dyDescent="0.3">
      <c r="B65" s="2">
        <v>64</v>
      </c>
      <c r="C65" s="3">
        <v>45754</v>
      </c>
      <c r="D65" s="4" t="s">
        <v>26</v>
      </c>
      <c r="E65" s="4" t="s">
        <v>27</v>
      </c>
      <c r="F65" s="4" t="s">
        <v>28</v>
      </c>
      <c r="G65" s="4" t="s">
        <v>16</v>
      </c>
      <c r="H65" s="2">
        <v>26</v>
      </c>
      <c r="I65" s="2">
        <v>2</v>
      </c>
      <c r="J65" s="2">
        <v>1</v>
      </c>
      <c r="K65" s="2" t="str">
        <f t="shared" si="1"/>
        <v>1º Semestre</v>
      </c>
      <c r="L65" s="2" t="str">
        <f t="shared" si="2"/>
        <v>T2</v>
      </c>
      <c r="M65" s="2" t="str">
        <f t="shared" si="0"/>
        <v>abr</v>
      </c>
      <c r="N65" s="2">
        <v>4</v>
      </c>
    </row>
    <row r="66" spans="2:14" x14ac:dyDescent="0.3">
      <c r="B66" s="2">
        <v>65</v>
      </c>
      <c r="C66" s="3">
        <v>45755</v>
      </c>
      <c r="D66" s="4" t="s">
        <v>13</v>
      </c>
      <c r="E66" s="4" t="s">
        <v>17</v>
      </c>
      <c r="F66" s="4" t="s">
        <v>18</v>
      </c>
      <c r="G66" s="4" t="s">
        <v>16</v>
      </c>
      <c r="H66" s="2">
        <v>123</v>
      </c>
      <c r="I66" s="2">
        <v>2</v>
      </c>
      <c r="J66" s="2">
        <v>1</v>
      </c>
      <c r="K66" s="2" t="str">
        <f t="shared" si="1"/>
        <v>1º Semestre</v>
      </c>
      <c r="L66" s="2" t="str">
        <f t="shared" si="2"/>
        <v>T2</v>
      </c>
      <c r="M66" s="2" t="str">
        <f t="shared" ref="M66:M129" si="3">TEXT(C66,"MMM")</f>
        <v>abr</v>
      </c>
      <c r="N66" s="2">
        <v>4</v>
      </c>
    </row>
    <row r="67" spans="2:14" x14ac:dyDescent="0.3">
      <c r="B67" s="2">
        <v>66</v>
      </c>
      <c r="C67" s="3">
        <v>45756</v>
      </c>
      <c r="D67" s="4" t="s">
        <v>30</v>
      </c>
      <c r="E67" s="4" t="s">
        <v>31</v>
      </c>
      <c r="F67" s="4" t="s">
        <v>32</v>
      </c>
      <c r="G67" s="4" t="s">
        <v>33</v>
      </c>
      <c r="H67" s="2">
        <v>30</v>
      </c>
      <c r="I67" s="2">
        <v>5</v>
      </c>
      <c r="J67" s="2">
        <v>1</v>
      </c>
      <c r="K67" s="2" t="str">
        <f t="shared" ref="K67:K130" si="4">IF(MONTH(M67 &amp; " 1")&lt;=6, "1º Semestre", "2º Semestre")</f>
        <v>1º Semestre</v>
      </c>
      <c r="L67" s="2" t="str">
        <f t="shared" ref="L67:L130" si="5">"T"&amp;ROUNDUP(VALUE(N67)/3,0)</f>
        <v>T2</v>
      </c>
      <c r="M67" s="2" t="str">
        <f t="shared" si="3"/>
        <v>abr</v>
      </c>
      <c r="N67" s="2">
        <v>4</v>
      </c>
    </row>
    <row r="68" spans="2:14" x14ac:dyDescent="0.3">
      <c r="B68" s="2">
        <v>67</v>
      </c>
      <c r="C68" s="3">
        <v>45757</v>
      </c>
      <c r="D68" s="4" t="s">
        <v>13</v>
      </c>
      <c r="E68" s="4" t="s">
        <v>37</v>
      </c>
      <c r="F68" s="4" t="s">
        <v>38</v>
      </c>
      <c r="G68" s="4" t="s">
        <v>22</v>
      </c>
      <c r="H68" s="2">
        <v>102</v>
      </c>
      <c r="I68" s="2">
        <v>3</v>
      </c>
      <c r="J68" s="2">
        <v>2</v>
      </c>
      <c r="K68" s="2" t="str">
        <f t="shared" si="4"/>
        <v>1º Semestre</v>
      </c>
      <c r="L68" s="2" t="str">
        <f t="shared" si="5"/>
        <v>T2</v>
      </c>
      <c r="M68" s="2" t="str">
        <f t="shared" si="3"/>
        <v>abr</v>
      </c>
      <c r="N68" s="2">
        <v>4</v>
      </c>
    </row>
    <row r="69" spans="2:14" x14ac:dyDescent="0.3">
      <c r="B69" s="2">
        <v>68</v>
      </c>
      <c r="C69" s="3">
        <v>45758</v>
      </c>
      <c r="D69" s="4" t="s">
        <v>26</v>
      </c>
      <c r="E69" s="4" t="s">
        <v>14</v>
      </c>
      <c r="F69" s="4" t="s">
        <v>29</v>
      </c>
      <c r="G69" s="4" t="s">
        <v>16</v>
      </c>
      <c r="H69" s="2">
        <v>26</v>
      </c>
      <c r="I69" s="2">
        <v>3</v>
      </c>
      <c r="J69" s="2">
        <v>1</v>
      </c>
      <c r="K69" s="2" t="str">
        <f t="shared" si="4"/>
        <v>1º Semestre</v>
      </c>
      <c r="L69" s="2" t="str">
        <f t="shared" si="5"/>
        <v>T2</v>
      </c>
      <c r="M69" s="2" t="str">
        <f t="shared" si="3"/>
        <v>abr</v>
      </c>
      <c r="N69" s="2">
        <v>4</v>
      </c>
    </row>
    <row r="70" spans="2:14" x14ac:dyDescent="0.3">
      <c r="B70" s="2">
        <v>69</v>
      </c>
      <c r="C70" s="3">
        <v>45761</v>
      </c>
      <c r="D70" s="4" t="s">
        <v>23</v>
      </c>
      <c r="E70" s="4" t="s">
        <v>20</v>
      </c>
      <c r="F70" s="4" t="s">
        <v>41</v>
      </c>
      <c r="G70" s="4" t="s">
        <v>33</v>
      </c>
      <c r="H70" s="2">
        <v>40</v>
      </c>
      <c r="I70" s="2">
        <v>8</v>
      </c>
      <c r="J70" s="2">
        <v>1</v>
      </c>
      <c r="K70" s="2" t="str">
        <f t="shared" si="4"/>
        <v>1º Semestre</v>
      </c>
      <c r="L70" s="2" t="str">
        <f t="shared" si="5"/>
        <v>T2</v>
      </c>
      <c r="M70" s="2" t="str">
        <f t="shared" si="3"/>
        <v>abr</v>
      </c>
      <c r="N70" s="2">
        <v>4</v>
      </c>
    </row>
    <row r="71" spans="2:14" x14ac:dyDescent="0.3">
      <c r="B71" s="2">
        <v>70</v>
      </c>
      <c r="C71" s="3">
        <v>45762</v>
      </c>
      <c r="D71" s="4" t="s">
        <v>13</v>
      </c>
      <c r="E71" s="4" t="s">
        <v>43</v>
      </c>
      <c r="F71" s="4" t="s">
        <v>44</v>
      </c>
      <c r="G71" s="4" t="s">
        <v>22</v>
      </c>
      <c r="H71" s="2">
        <v>117</v>
      </c>
      <c r="I71" s="2">
        <v>4</v>
      </c>
      <c r="J71" s="2">
        <v>3</v>
      </c>
      <c r="K71" s="2" t="str">
        <f t="shared" si="4"/>
        <v>1º Semestre</v>
      </c>
      <c r="L71" s="2" t="str">
        <f t="shared" si="5"/>
        <v>T2</v>
      </c>
      <c r="M71" s="2" t="str">
        <f t="shared" si="3"/>
        <v>abr</v>
      </c>
      <c r="N71" s="2">
        <v>4</v>
      </c>
    </row>
    <row r="72" spans="2:14" x14ac:dyDescent="0.3">
      <c r="B72" s="2">
        <v>71</v>
      </c>
      <c r="C72" s="3">
        <v>45763</v>
      </c>
      <c r="D72" s="4" t="s">
        <v>19</v>
      </c>
      <c r="E72" s="4" t="s">
        <v>24</v>
      </c>
      <c r="F72" s="4" t="s">
        <v>46</v>
      </c>
      <c r="G72" s="4" t="s">
        <v>22</v>
      </c>
      <c r="H72" s="2">
        <v>93</v>
      </c>
      <c r="I72" s="2">
        <v>4</v>
      </c>
      <c r="J72" s="2">
        <v>2</v>
      </c>
      <c r="K72" s="2" t="str">
        <f t="shared" si="4"/>
        <v>1º Semestre</v>
      </c>
      <c r="L72" s="2" t="str">
        <f t="shared" si="5"/>
        <v>T2</v>
      </c>
      <c r="M72" s="2" t="str">
        <f t="shared" si="3"/>
        <v>abr</v>
      </c>
      <c r="N72" s="2">
        <v>4</v>
      </c>
    </row>
    <row r="73" spans="2:14" x14ac:dyDescent="0.3">
      <c r="B73" s="2">
        <v>72</v>
      </c>
      <c r="C73" s="3">
        <v>45764</v>
      </c>
      <c r="D73" s="4" t="s">
        <v>30</v>
      </c>
      <c r="E73" s="4" t="s">
        <v>31</v>
      </c>
      <c r="F73" s="4" t="s">
        <v>32</v>
      </c>
      <c r="G73" s="4" t="s">
        <v>33</v>
      </c>
      <c r="H73" s="2">
        <v>25</v>
      </c>
      <c r="I73" s="2">
        <v>5</v>
      </c>
      <c r="J73" s="2">
        <v>4</v>
      </c>
      <c r="K73" s="2" t="str">
        <f t="shared" si="4"/>
        <v>1º Semestre</v>
      </c>
      <c r="L73" s="2" t="str">
        <f t="shared" si="5"/>
        <v>T2</v>
      </c>
      <c r="M73" s="2" t="str">
        <f t="shared" si="3"/>
        <v>abr</v>
      </c>
      <c r="N73" s="2">
        <v>4</v>
      </c>
    </row>
    <row r="74" spans="2:14" x14ac:dyDescent="0.3">
      <c r="B74" s="2">
        <v>73</v>
      </c>
      <c r="C74" s="3">
        <v>45769</v>
      </c>
      <c r="D74" s="4" t="s">
        <v>13</v>
      </c>
      <c r="E74" s="4" t="s">
        <v>17</v>
      </c>
      <c r="F74" s="4" t="s">
        <v>50</v>
      </c>
      <c r="G74" s="4" t="s">
        <v>16</v>
      </c>
      <c r="H74" s="2">
        <v>126</v>
      </c>
      <c r="I74" s="2">
        <v>2</v>
      </c>
      <c r="J74" s="2">
        <v>1</v>
      </c>
      <c r="K74" s="2" t="str">
        <f t="shared" si="4"/>
        <v>1º Semestre</v>
      </c>
      <c r="L74" s="2" t="str">
        <f t="shared" si="5"/>
        <v>T2</v>
      </c>
      <c r="M74" s="2" t="str">
        <f t="shared" si="3"/>
        <v>abr</v>
      </c>
      <c r="N74" s="2">
        <v>4</v>
      </c>
    </row>
    <row r="75" spans="2:14" x14ac:dyDescent="0.3">
      <c r="B75" s="2">
        <v>74</v>
      </c>
      <c r="C75" s="3">
        <v>45770</v>
      </c>
      <c r="D75" s="4" t="s">
        <v>26</v>
      </c>
      <c r="E75" s="4" t="s">
        <v>27</v>
      </c>
      <c r="F75" s="4" t="s">
        <v>39</v>
      </c>
      <c r="G75" s="4" t="s">
        <v>16</v>
      </c>
      <c r="H75" s="2">
        <v>26</v>
      </c>
      <c r="I75" s="2">
        <v>2</v>
      </c>
      <c r="J75" s="2">
        <v>1</v>
      </c>
      <c r="K75" s="2" t="str">
        <f t="shared" si="4"/>
        <v>1º Semestre</v>
      </c>
      <c r="L75" s="2" t="str">
        <f t="shared" si="5"/>
        <v>T2</v>
      </c>
      <c r="M75" s="2" t="str">
        <f t="shared" si="3"/>
        <v>abr</v>
      </c>
      <c r="N75" s="2">
        <v>4</v>
      </c>
    </row>
    <row r="76" spans="2:14" x14ac:dyDescent="0.3">
      <c r="B76" s="2">
        <v>75</v>
      </c>
      <c r="C76" s="3">
        <v>45771</v>
      </c>
      <c r="D76" s="4" t="s">
        <v>19</v>
      </c>
      <c r="E76" s="4" t="s">
        <v>20</v>
      </c>
      <c r="F76" s="4" t="s">
        <v>21</v>
      </c>
      <c r="G76" s="4" t="s">
        <v>22</v>
      </c>
      <c r="H76" s="2">
        <v>78</v>
      </c>
      <c r="I76" s="2">
        <v>6</v>
      </c>
      <c r="J76" s="2">
        <v>1</v>
      </c>
      <c r="K76" s="2" t="str">
        <f t="shared" si="4"/>
        <v>1º Semestre</v>
      </c>
      <c r="L76" s="2" t="str">
        <f t="shared" si="5"/>
        <v>T2</v>
      </c>
      <c r="M76" s="2" t="str">
        <f t="shared" si="3"/>
        <v>abr</v>
      </c>
      <c r="N76" s="2">
        <v>4</v>
      </c>
    </row>
    <row r="77" spans="2:14" x14ac:dyDescent="0.3">
      <c r="B77" s="2">
        <v>76</v>
      </c>
      <c r="C77" s="3">
        <v>45772</v>
      </c>
      <c r="D77" s="4" t="s">
        <v>13</v>
      </c>
      <c r="E77" s="4" t="s">
        <v>14</v>
      </c>
      <c r="F77" s="4" t="s">
        <v>15</v>
      </c>
      <c r="G77" s="4" t="s">
        <v>16</v>
      </c>
      <c r="H77" s="2">
        <v>111</v>
      </c>
      <c r="I77" s="2">
        <v>3</v>
      </c>
      <c r="J77" s="2">
        <v>2</v>
      </c>
      <c r="K77" s="2" t="str">
        <f t="shared" si="4"/>
        <v>1º Semestre</v>
      </c>
      <c r="L77" s="2" t="str">
        <f t="shared" si="5"/>
        <v>T2</v>
      </c>
      <c r="M77" s="2" t="str">
        <f t="shared" si="3"/>
        <v>abr</v>
      </c>
      <c r="N77" s="2">
        <v>4</v>
      </c>
    </row>
    <row r="78" spans="2:14" x14ac:dyDescent="0.3">
      <c r="B78" s="2">
        <v>77</v>
      </c>
      <c r="C78" s="3">
        <v>45775</v>
      </c>
      <c r="D78" s="4" t="s">
        <v>23</v>
      </c>
      <c r="E78" s="4" t="s">
        <v>24</v>
      </c>
      <c r="F78" s="4" t="s">
        <v>25</v>
      </c>
      <c r="G78" s="4" t="s">
        <v>22</v>
      </c>
      <c r="H78" s="2">
        <v>40</v>
      </c>
      <c r="I78" s="2">
        <v>5</v>
      </c>
      <c r="J78" s="2">
        <v>3</v>
      </c>
      <c r="K78" s="2" t="str">
        <f t="shared" si="4"/>
        <v>1º Semestre</v>
      </c>
      <c r="L78" s="2" t="str">
        <f t="shared" si="5"/>
        <v>T2</v>
      </c>
      <c r="M78" s="2" t="str">
        <f t="shared" si="3"/>
        <v>abr</v>
      </c>
      <c r="N78" s="2">
        <v>4</v>
      </c>
    </row>
    <row r="79" spans="2:14" x14ac:dyDescent="0.3">
      <c r="B79" s="2">
        <v>78</v>
      </c>
      <c r="C79" s="3">
        <v>45776</v>
      </c>
      <c r="D79" s="4" t="s">
        <v>13</v>
      </c>
      <c r="E79" s="4" t="s">
        <v>34</v>
      </c>
      <c r="F79" s="4" t="s">
        <v>35</v>
      </c>
      <c r="G79" s="4" t="s">
        <v>36</v>
      </c>
      <c r="H79" s="2">
        <v>107</v>
      </c>
      <c r="I79" s="2">
        <v>1</v>
      </c>
      <c r="J79" s="2">
        <v>0</v>
      </c>
      <c r="K79" s="2" t="str">
        <f t="shared" si="4"/>
        <v>1º Semestre</v>
      </c>
      <c r="L79" s="2" t="str">
        <f t="shared" si="5"/>
        <v>T2</v>
      </c>
      <c r="M79" s="2" t="str">
        <f t="shared" si="3"/>
        <v>abr</v>
      </c>
      <c r="N79" s="2">
        <v>4</v>
      </c>
    </row>
    <row r="80" spans="2:14" x14ac:dyDescent="0.3">
      <c r="B80" s="2">
        <v>79</v>
      </c>
      <c r="C80" s="3">
        <v>45776</v>
      </c>
      <c r="D80" s="4" t="s">
        <v>26</v>
      </c>
      <c r="E80" s="4" t="s">
        <v>14</v>
      </c>
      <c r="F80" s="4" t="s">
        <v>29</v>
      </c>
      <c r="G80" s="4" t="s">
        <v>16</v>
      </c>
      <c r="H80" s="2">
        <v>20</v>
      </c>
      <c r="I80" s="2">
        <v>2</v>
      </c>
      <c r="J80" s="2">
        <v>1</v>
      </c>
      <c r="K80" s="2" t="str">
        <f t="shared" si="4"/>
        <v>1º Semestre</v>
      </c>
      <c r="L80" s="2" t="str">
        <f t="shared" si="5"/>
        <v>T2</v>
      </c>
      <c r="M80" s="2" t="str">
        <f t="shared" si="3"/>
        <v>abr</v>
      </c>
      <c r="N80" s="2">
        <v>4</v>
      </c>
    </row>
    <row r="81" spans="2:14" x14ac:dyDescent="0.3">
      <c r="B81" s="2">
        <v>80</v>
      </c>
      <c r="C81" s="3">
        <v>45777</v>
      </c>
      <c r="D81" s="4" t="s">
        <v>23</v>
      </c>
      <c r="E81" s="4" t="s">
        <v>20</v>
      </c>
      <c r="F81" s="4" t="s">
        <v>41</v>
      </c>
      <c r="G81" s="4" t="s">
        <v>33</v>
      </c>
      <c r="H81" s="2">
        <v>44</v>
      </c>
      <c r="I81" s="2">
        <v>7</v>
      </c>
      <c r="J81" s="2">
        <v>1</v>
      </c>
      <c r="K81" s="2" t="str">
        <f t="shared" si="4"/>
        <v>1º Semestre</v>
      </c>
      <c r="L81" s="2" t="str">
        <f t="shared" si="5"/>
        <v>T2</v>
      </c>
      <c r="M81" s="2" t="str">
        <f t="shared" si="3"/>
        <v>abr</v>
      </c>
      <c r="N81" s="2">
        <v>4</v>
      </c>
    </row>
    <row r="82" spans="2:14" x14ac:dyDescent="0.3">
      <c r="B82" s="2">
        <v>81</v>
      </c>
      <c r="C82" s="3">
        <v>45779</v>
      </c>
      <c r="D82" s="4" t="s">
        <v>13</v>
      </c>
      <c r="E82" s="4" t="s">
        <v>14</v>
      </c>
      <c r="F82" s="4" t="s">
        <v>15</v>
      </c>
      <c r="G82" s="4" t="s">
        <v>16</v>
      </c>
      <c r="H82" s="2">
        <v>119</v>
      </c>
      <c r="I82" s="2">
        <v>3</v>
      </c>
      <c r="J82" s="2">
        <v>2</v>
      </c>
      <c r="K82" s="2" t="str">
        <f t="shared" si="4"/>
        <v>1º Semestre</v>
      </c>
      <c r="L82" s="2" t="str">
        <f t="shared" si="5"/>
        <v>T2</v>
      </c>
      <c r="M82" s="2" t="str">
        <f t="shared" si="3"/>
        <v>mai</v>
      </c>
      <c r="N82" s="2">
        <v>5</v>
      </c>
    </row>
    <row r="83" spans="2:14" x14ac:dyDescent="0.3">
      <c r="B83" s="2">
        <v>82</v>
      </c>
      <c r="C83" s="3">
        <v>45782</v>
      </c>
      <c r="D83" s="4" t="s">
        <v>19</v>
      </c>
      <c r="E83" s="4" t="s">
        <v>20</v>
      </c>
      <c r="F83" s="4" t="s">
        <v>21</v>
      </c>
      <c r="G83" s="4" t="s">
        <v>22</v>
      </c>
      <c r="H83" s="2">
        <v>81</v>
      </c>
      <c r="I83" s="2">
        <v>6</v>
      </c>
      <c r="J83" s="2">
        <v>0</v>
      </c>
      <c r="K83" s="2" t="str">
        <f t="shared" si="4"/>
        <v>1º Semestre</v>
      </c>
      <c r="L83" s="2" t="str">
        <f t="shared" si="5"/>
        <v>T2</v>
      </c>
      <c r="M83" s="2" t="str">
        <f t="shared" si="3"/>
        <v>mai</v>
      </c>
      <c r="N83" s="2">
        <v>5</v>
      </c>
    </row>
    <row r="84" spans="2:14" x14ac:dyDescent="0.3">
      <c r="B84" s="2">
        <v>83</v>
      </c>
      <c r="C84" s="3">
        <v>45783</v>
      </c>
      <c r="D84" s="4" t="s">
        <v>23</v>
      </c>
      <c r="E84" s="4" t="s">
        <v>24</v>
      </c>
      <c r="F84" s="4" t="s">
        <v>25</v>
      </c>
      <c r="G84" s="4" t="s">
        <v>22</v>
      </c>
      <c r="H84" s="2">
        <v>42</v>
      </c>
      <c r="I84" s="2">
        <v>5</v>
      </c>
      <c r="J84" s="2">
        <v>3</v>
      </c>
      <c r="K84" s="2" t="str">
        <f t="shared" si="4"/>
        <v>1º Semestre</v>
      </c>
      <c r="L84" s="2" t="str">
        <f t="shared" si="5"/>
        <v>T2</v>
      </c>
      <c r="M84" s="2" t="str">
        <f t="shared" si="3"/>
        <v>mai</v>
      </c>
      <c r="N84" s="2">
        <v>5</v>
      </c>
    </row>
    <row r="85" spans="2:14" x14ac:dyDescent="0.3">
      <c r="B85" s="2">
        <v>84</v>
      </c>
      <c r="C85" s="3">
        <v>45784</v>
      </c>
      <c r="D85" s="4" t="s">
        <v>26</v>
      </c>
      <c r="E85" s="4" t="s">
        <v>27</v>
      </c>
      <c r="F85" s="4" t="s">
        <v>28</v>
      </c>
      <c r="G85" s="4" t="s">
        <v>16</v>
      </c>
      <c r="H85" s="2">
        <v>20</v>
      </c>
      <c r="I85" s="2">
        <v>2</v>
      </c>
      <c r="J85" s="2">
        <v>1</v>
      </c>
      <c r="K85" s="2" t="str">
        <f t="shared" si="4"/>
        <v>1º Semestre</v>
      </c>
      <c r="L85" s="2" t="str">
        <f t="shared" si="5"/>
        <v>T2</v>
      </c>
      <c r="M85" s="2" t="str">
        <f t="shared" si="3"/>
        <v>mai</v>
      </c>
      <c r="N85" s="2">
        <v>5</v>
      </c>
    </row>
    <row r="86" spans="2:14" x14ac:dyDescent="0.3">
      <c r="B86" s="2">
        <v>85</v>
      </c>
      <c r="C86" s="3">
        <v>45785</v>
      </c>
      <c r="D86" s="4" t="s">
        <v>13</v>
      </c>
      <c r="E86" s="4" t="s">
        <v>17</v>
      </c>
      <c r="F86" s="4" t="s">
        <v>18</v>
      </c>
      <c r="G86" s="4" t="s">
        <v>16</v>
      </c>
      <c r="H86" s="2">
        <v>100</v>
      </c>
      <c r="I86" s="2">
        <v>2</v>
      </c>
      <c r="J86" s="2">
        <v>1</v>
      </c>
      <c r="K86" s="2" t="str">
        <f t="shared" si="4"/>
        <v>1º Semestre</v>
      </c>
      <c r="L86" s="2" t="str">
        <f t="shared" si="5"/>
        <v>T2</v>
      </c>
      <c r="M86" s="2" t="str">
        <f t="shared" si="3"/>
        <v>mai</v>
      </c>
      <c r="N86" s="2">
        <v>5</v>
      </c>
    </row>
    <row r="87" spans="2:14" x14ac:dyDescent="0.3">
      <c r="B87" s="2">
        <v>86</v>
      </c>
      <c r="C87" s="3">
        <v>45786</v>
      </c>
      <c r="D87" s="4" t="s">
        <v>30</v>
      </c>
      <c r="E87" s="4" t="s">
        <v>31</v>
      </c>
      <c r="F87" s="4" t="s">
        <v>32</v>
      </c>
      <c r="G87" s="4" t="s">
        <v>33</v>
      </c>
      <c r="H87" s="2">
        <v>25</v>
      </c>
      <c r="I87" s="2">
        <v>6</v>
      </c>
      <c r="J87" s="2">
        <v>0</v>
      </c>
      <c r="K87" s="2" t="str">
        <f t="shared" si="4"/>
        <v>1º Semestre</v>
      </c>
      <c r="L87" s="2" t="str">
        <f t="shared" si="5"/>
        <v>T2</v>
      </c>
      <c r="M87" s="2" t="str">
        <f t="shared" si="3"/>
        <v>mai</v>
      </c>
      <c r="N87" s="2">
        <v>5</v>
      </c>
    </row>
    <row r="88" spans="2:14" x14ac:dyDescent="0.3">
      <c r="B88" s="2">
        <v>87</v>
      </c>
      <c r="C88" s="3">
        <v>45789</v>
      </c>
      <c r="D88" s="4" t="s">
        <v>13</v>
      </c>
      <c r="E88" s="4" t="s">
        <v>37</v>
      </c>
      <c r="F88" s="4" t="s">
        <v>38</v>
      </c>
      <c r="G88" s="4" t="s">
        <v>22</v>
      </c>
      <c r="H88" s="2">
        <v>123</v>
      </c>
      <c r="I88" s="2">
        <v>3</v>
      </c>
      <c r="J88" s="2">
        <v>2</v>
      </c>
      <c r="K88" s="2" t="str">
        <f t="shared" si="4"/>
        <v>1º Semestre</v>
      </c>
      <c r="L88" s="2" t="str">
        <f t="shared" si="5"/>
        <v>T2</v>
      </c>
      <c r="M88" s="2" t="str">
        <f t="shared" si="3"/>
        <v>mai</v>
      </c>
      <c r="N88" s="2">
        <v>5</v>
      </c>
    </row>
    <row r="89" spans="2:14" x14ac:dyDescent="0.3">
      <c r="B89" s="2">
        <v>88</v>
      </c>
      <c r="C89" s="3">
        <v>45790</v>
      </c>
      <c r="D89" s="4" t="s">
        <v>26</v>
      </c>
      <c r="E89" s="4" t="s">
        <v>14</v>
      </c>
      <c r="F89" s="4" t="s">
        <v>29</v>
      </c>
      <c r="G89" s="4" t="s">
        <v>16</v>
      </c>
      <c r="H89" s="2">
        <v>20</v>
      </c>
      <c r="I89" s="2">
        <v>2</v>
      </c>
      <c r="J89" s="2">
        <v>1</v>
      </c>
      <c r="K89" s="2" t="str">
        <f t="shared" si="4"/>
        <v>1º Semestre</v>
      </c>
      <c r="L89" s="2" t="str">
        <f t="shared" si="5"/>
        <v>T2</v>
      </c>
      <c r="M89" s="2" t="str">
        <f t="shared" si="3"/>
        <v>mai</v>
      </c>
      <c r="N89" s="2">
        <v>5</v>
      </c>
    </row>
    <row r="90" spans="2:14" x14ac:dyDescent="0.3">
      <c r="B90" s="2">
        <v>89</v>
      </c>
      <c r="C90" s="3">
        <v>45791</v>
      </c>
      <c r="D90" s="4" t="s">
        <v>23</v>
      </c>
      <c r="E90" s="4" t="s">
        <v>20</v>
      </c>
      <c r="F90" s="4" t="s">
        <v>41</v>
      </c>
      <c r="G90" s="4" t="s">
        <v>33</v>
      </c>
      <c r="H90" s="2">
        <v>40</v>
      </c>
      <c r="I90" s="2">
        <v>7</v>
      </c>
      <c r="J90" s="2">
        <v>1</v>
      </c>
      <c r="K90" s="2" t="str">
        <f t="shared" si="4"/>
        <v>1º Semestre</v>
      </c>
      <c r="L90" s="2" t="str">
        <f t="shared" si="5"/>
        <v>T2</v>
      </c>
      <c r="M90" s="2" t="str">
        <f t="shared" si="3"/>
        <v>mai</v>
      </c>
      <c r="N90" s="2">
        <v>5</v>
      </c>
    </row>
    <row r="91" spans="2:14" x14ac:dyDescent="0.3">
      <c r="B91" s="2">
        <v>90</v>
      </c>
      <c r="C91" s="3">
        <v>45792</v>
      </c>
      <c r="D91" s="4" t="s">
        <v>13</v>
      </c>
      <c r="E91" s="4" t="s">
        <v>43</v>
      </c>
      <c r="F91" s="4" t="s">
        <v>44</v>
      </c>
      <c r="G91" s="4" t="s">
        <v>22</v>
      </c>
      <c r="H91" s="2">
        <v>109</v>
      </c>
      <c r="I91" s="2">
        <v>4</v>
      </c>
      <c r="J91" s="2">
        <v>3</v>
      </c>
      <c r="K91" s="2" t="str">
        <f t="shared" si="4"/>
        <v>1º Semestre</v>
      </c>
      <c r="L91" s="2" t="str">
        <f t="shared" si="5"/>
        <v>T2</v>
      </c>
      <c r="M91" s="2" t="str">
        <f t="shared" si="3"/>
        <v>mai</v>
      </c>
      <c r="N91" s="2">
        <v>5</v>
      </c>
    </row>
    <row r="92" spans="2:14" x14ac:dyDescent="0.3">
      <c r="B92" s="2">
        <v>91</v>
      </c>
      <c r="C92" s="3">
        <v>45793</v>
      </c>
      <c r="D92" s="4" t="s">
        <v>19</v>
      </c>
      <c r="E92" s="4" t="s">
        <v>24</v>
      </c>
      <c r="F92" s="4" t="s">
        <v>46</v>
      </c>
      <c r="G92" s="4" t="s">
        <v>22</v>
      </c>
      <c r="H92" s="2">
        <v>84</v>
      </c>
      <c r="I92" s="2">
        <v>4</v>
      </c>
      <c r="J92" s="2">
        <v>2</v>
      </c>
      <c r="K92" s="2" t="str">
        <f t="shared" si="4"/>
        <v>1º Semestre</v>
      </c>
      <c r="L92" s="2" t="str">
        <f t="shared" si="5"/>
        <v>T2</v>
      </c>
      <c r="M92" s="2" t="str">
        <f t="shared" si="3"/>
        <v>mai</v>
      </c>
      <c r="N92" s="2">
        <v>5</v>
      </c>
    </row>
    <row r="93" spans="2:14" x14ac:dyDescent="0.3">
      <c r="B93" s="2">
        <v>92</v>
      </c>
      <c r="C93" s="3">
        <v>45796</v>
      </c>
      <c r="D93" s="4" t="s">
        <v>30</v>
      </c>
      <c r="E93" s="4" t="s">
        <v>31</v>
      </c>
      <c r="F93" s="4" t="s">
        <v>32</v>
      </c>
      <c r="G93" s="4" t="s">
        <v>33</v>
      </c>
      <c r="H93" s="2">
        <v>25</v>
      </c>
      <c r="I93" s="2">
        <v>6</v>
      </c>
      <c r="J93" s="2">
        <v>1</v>
      </c>
      <c r="K93" s="2" t="str">
        <f t="shared" si="4"/>
        <v>1º Semestre</v>
      </c>
      <c r="L93" s="2" t="str">
        <f t="shared" si="5"/>
        <v>T2</v>
      </c>
      <c r="M93" s="2" t="str">
        <f t="shared" si="3"/>
        <v>mai</v>
      </c>
      <c r="N93" s="2">
        <v>5</v>
      </c>
    </row>
    <row r="94" spans="2:14" x14ac:dyDescent="0.3">
      <c r="B94" s="2">
        <v>93</v>
      </c>
      <c r="C94" s="3">
        <v>45797</v>
      </c>
      <c r="D94" s="4" t="s">
        <v>13</v>
      </c>
      <c r="E94" s="4" t="s">
        <v>17</v>
      </c>
      <c r="F94" s="4" t="s">
        <v>50</v>
      </c>
      <c r="G94" s="4" t="s">
        <v>16</v>
      </c>
      <c r="H94" s="2">
        <v>125</v>
      </c>
      <c r="I94" s="2">
        <v>2</v>
      </c>
      <c r="J94" s="2">
        <v>1</v>
      </c>
      <c r="K94" s="2" t="str">
        <f t="shared" si="4"/>
        <v>1º Semestre</v>
      </c>
      <c r="L94" s="2" t="str">
        <f t="shared" si="5"/>
        <v>T2</v>
      </c>
      <c r="M94" s="2" t="str">
        <f t="shared" si="3"/>
        <v>mai</v>
      </c>
      <c r="N94" s="2">
        <v>5</v>
      </c>
    </row>
    <row r="95" spans="2:14" x14ac:dyDescent="0.3">
      <c r="B95" s="2">
        <v>94</v>
      </c>
      <c r="C95" s="3">
        <v>45798</v>
      </c>
      <c r="D95" s="4" t="s">
        <v>26</v>
      </c>
      <c r="E95" s="4" t="s">
        <v>27</v>
      </c>
      <c r="F95" s="4" t="s">
        <v>39</v>
      </c>
      <c r="G95" s="4" t="s">
        <v>16</v>
      </c>
      <c r="H95" s="2">
        <v>20</v>
      </c>
      <c r="I95" s="2">
        <v>2</v>
      </c>
      <c r="J95" s="2">
        <v>1</v>
      </c>
      <c r="K95" s="2" t="str">
        <f t="shared" si="4"/>
        <v>1º Semestre</v>
      </c>
      <c r="L95" s="2" t="str">
        <f t="shared" si="5"/>
        <v>T2</v>
      </c>
      <c r="M95" s="2" t="str">
        <f t="shared" si="3"/>
        <v>mai</v>
      </c>
      <c r="N95" s="2">
        <v>5</v>
      </c>
    </row>
    <row r="96" spans="2:14" x14ac:dyDescent="0.3">
      <c r="B96" s="2">
        <v>95</v>
      </c>
      <c r="C96" s="3">
        <v>45799</v>
      </c>
      <c r="D96" s="4" t="s">
        <v>19</v>
      </c>
      <c r="E96" s="4" t="s">
        <v>20</v>
      </c>
      <c r="F96" s="4" t="s">
        <v>21</v>
      </c>
      <c r="G96" s="4" t="s">
        <v>22</v>
      </c>
      <c r="H96" s="2">
        <v>86</v>
      </c>
      <c r="I96" s="2">
        <v>6</v>
      </c>
      <c r="J96" s="2">
        <v>1</v>
      </c>
      <c r="K96" s="2" t="str">
        <f t="shared" si="4"/>
        <v>1º Semestre</v>
      </c>
      <c r="L96" s="2" t="str">
        <f t="shared" si="5"/>
        <v>T2</v>
      </c>
      <c r="M96" s="2" t="str">
        <f t="shared" si="3"/>
        <v>mai</v>
      </c>
      <c r="N96" s="2">
        <v>5</v>
      </c>
    </row>
    <row r="97" spans="2:14" x14ac:dyDescent="0.3">
      <c r="B97" s="2">
        <v>96</v>
      </c>
      <c r="C97" s="3">
        <v>45800</v>
      </c>
      <c r="D97" s="4" t="s">
        <v>13</v>
      </c>
      <c r="E97" s="4" t="s">
        <v>14</v>
      </c>
      <c r="F97" s="4" t="s">
        <v>15</v>
      </c>
      <c r="G97" s="4" t="s">
        <v>16</v>
      </c>
      <c r="H97" s="2">
        <v>130</v>
      </c>
      <c r="I97" s="2">
        <v>3</v>
      </c>
      <c r="J97" s="2">
        <v>2</v>
      </c>
      <c r="K97" s="2" t="str">
        <f t="shared" si="4"/>
        <v>1º Semestre</v>
      </c>
      <c r="L97" s="2" t="str">
        <f t="shared" si="5"/>
        <v>T2</v>
      </c>
      <c r="M97" s="2" t="str">
        <f t="shared" si="3"/>
        <v>mai</v>
      </c>
      <c r="N97" s="2">
        <v>5</v>
      </c>
    </row>
    <row r="98" spans="2:14" x14ac:dyDescent="0.3">
      <c r="B98" s="2">
        <v>97</v>
      </c>
      <c r="C98" s="3">
        <v>45803</v>
      </c>
      <c r="D98" s="4" t="s">
        <v>23</v>
      </c>
      <c r="E98" s="4" t="s">
        <v>24</v>
      </c>
      <c r="F98" s="4" t="s">
        <v>25</v>
      </c>
      <c r="G98" s="4" t="s">
        <v>22</v>
      </c>
      <c r="H98" s="2">
        <v>40</v>
      </c>
      <c r="I98" s="2">
        <v>4</v>
      </c>
      <c r="J98" s="2">
        <v>3</v>
      </c>
      <c r="K98" s="2" t="str">
        <f t="shared" si="4"/>
        <v>1º Semestre</v>
      </c>
      <c r="L98" s="2" t="str">
        <f t="shared" si="5"/>
        <v>T2</v>
      </c>
      <c r="M98" s="2" t="str">
        <f t="shared" si="3"/>
        <v>mai</v>
      </c>
      <c r="N98" s="2">
        <v>5</v>
      </c>
    </row>
    <row r="99" spans="2:14" x14ac:dyDescent="0.3">
      <c r="B99" s="2">
        <v>98</v>
      </c>
      <c r="C99" s="3">
        <v>45804</v>
      </c>
      <c r="D99" s="4" t="s">
        <v>13</v>
      </c>
      <c r="E99" s="4" t="s">
        <v>34</v>
      </c>
      <c r="F99" s="4" t="s">
        <v>35</v>
      </c>
      <c r="G99" s="4" t="s">
        <v>36</v>
      </c>
      <c r="H99" s="2">
        <v>111</v>
      </c>
      <c r="I99" s="2">
        <v>1</v>
      </c>
      <c r="J99" s="2">
        <v>1</v>
      </c>
      <c r="K99" s="2" t="str">
        <f t="shared" si="4"/>
        <v>1º Semestre</v>
      </c>
      <c r="L99" s="2" t="str">
        <f t="shared" si="5"/>
        <v>T2</v>
      </c>
      <c r="M99" s="2" t="str">
        <f t="shared" si="3"/>
        <v>mai</v>
      </c>
      <c r="N99" s="2">
        <v>5</v>
      </c>
    </row>
    <row r="100" spans="2:14" x14ac:dyDescent="0.3">
      <c r="B100" s="2">
        <v>99</v>
      </c>
      <c r="C100" s="3">
        <v>45805</v>
      </c>
      <c r="D100" s="4" t="s">
        <v>26</v>
      </c>
      <c r="E100" s="4" t="s">
        <v>14</v>
      </c>
      <c r="F100" s="4" t="s">
        <v>29</v>
      </c>
      <c r="G100" s="4" t="s">
        <v>16</v>
      </c>
      <c r="H100" s="2">
        <v>20</v>
      </c>
      <c r="I100" s="2">
        <v>2</v>
      </c>
      <c r="J100" s="2">
        <v>1</v>
      </c>
      <c r="K100" s="2" t="str">
        <f t="shared" si="4"/>
        <v>1º Semestre</v>
      </c>
      <c r="L100" s="2" t="str">
        <f t="shared" si="5"/>
        <v>T2</v>
      </c>
      <c r="M100" s="2" t="str">
        <f t="shared" si="3"/>
        <v>mai</v>
      </c>
      <c r="N100" s="2">
        <v>5</v>
      </c>
    </row>
    <row r="101" spans="2:14" x14ac:dyDescent="0.3">
      <c r="B101" s="2">
        <v>100</v>
      </c>
      <c r="C101" s="3">
        <v>45807</v>
      </c>
      <c r="D101" s="4" t="s">
        <v>23</v>
      </c>
      <c r="E101" s="4" t="s">
        <v>20</v>
      </c>
      <c r="F101" s="4" t="s">
        <v>41</v>
      </c>
      <c r="G101" s="4" t="s">
        <v>33</v>
      </c>
      <c r="H101" s="2">
        <v>44</v>
      </c>
      <c r="I101" s="2">
        <v>6</v>
      </c>
      <c r="J101" s="2">
        <v>1</v>
      </c>
      <c r="K101" s="2" t="str">
        <f t="shared" si="4"/>
        <v>1º Semestre</v>
      </c>
      <c r="L101" s="2" t="str">
        <f t="shared" si="5"/>
        <v>T2</v>
      </c>
      <c r="M101" s="2" t="str">
        <f t="shared" si="3"/>
        <v>mai</v>
      </c>
      <c r="N101" s="2">
        <v>5</v>
      </c>
    </row>
    <row r="102" spans="2:14" x14ac:dyDescent="0.3">
      <c r="B102" s="2">
        <v>101</v>
      </c>
      <c r="C102" s="3">
        <v>45810</v>
      </c>
      <c r="D102" s="4" t="s">
        <v>13</v>
      </c>
      <c r="E102" s="4" t="s">
        <v>14</v>
      </c>
      <c r="F102" s="4" t="s">
        <v>15</v>
      </c>
      <c r="G102" s="4" t="s">
        <v>16</v>
      </c>
      <c r="H102" s="2">
        <v>122</v>
      </c>
      <c r="I102" s="2">
        <v>2</v>
      </c>
      <c r="J102" s="2">
        <v>1</v>
      </c>
      <c r="K102" s="2" t="str">
        <f t="shared" si="4"/>
        <v>1º Semestre</v>
      </c>
      <c r="L102" s="2" t="str">
        <f t="shared" si="5"/>
        <v>T2</v>
      </c>
      <c r="M102" s="2" t="str">
        <f t="shared" si="3"/>
        <v>jun</v>
      </c>
      <c r="N102" s="2">
        <v>6</v>
      </c>
    </row>
    <row r="103" spans="2:14" x14ac:dyDescent="0.3">
      <c r="B103" s="2">
        <v>102</v>
      </c>
      <c r="C103" s="3">
        <v>45811</v>
      </c>
      <c r="D103" s="4" t="s">
        <v>19</v>
      </c>
      <c r="E103" s="4" t="s">
        <v>20</v>
      </c>
      <c r="F103" s="4" t="s">
        <v>21</v>
      </c>
      <c r="G103" s="4" t="s">
        <v>22</v>
      </c>
      <c r="H103" s="2">
        <v>89</v>
      </c>
      <c r="I103" s="2">
        <v>5</v>
      </c>
      <c r="J103" s="2">
        <v>1</v>
      </c>
      <c r="K103" s="2" t="str">
        <f t="shared" si="4"/>
        <v>1º Semestre</v>
      </c>
      <c r="L103" s="2" t="str">
        <f t="shared" si="5"/>
        <v>T2</v>
      </c>
      <c r="M103" s="2" t="str">
        <f t="shared" si="3"/>
        <v>jun</v>
      </c>
      <c r="N103" s="2">
        <v>6</v>
      </c>
    </row>
    <row r="104" spans="2:14" x14ac:dyDescent="0.3">
      <c r="B104" s="2">
        <v>103</v>
      </c>
      <c r="C104" s="3">
        <v>45812</v>
      </c>
      <c r="D104" s="4" t="s">
        <v>23</v>
      </c>
      <c r="E104" s="4" t="s">
        <v>24</v>
      </c>
      <c r="F104" s="4" t="s">
        <v>25</v>
      </c>
      <c r="G104" s="4" t="s">
        <v>22</v>
      </c>
      <c r="H104" s="2">
        <v>50</v>
      </c>
      <c r="I104" s="2">
        <v>4</v>
      </c>
      <c r="J104" s="2">
        <v>2</v>
      </c>
      <c r="K104" s="2" t="str">
        <f t="shared" si="4"/>
        <v>1º Semestre</v>
      </c>
      <c r="L104" s="2" t="str">
        <f t="shared" si="5"/>
        <v>T2</v>
      </c>
      <c r="M104" s="2" t="str">
        <f t="shared" si="3"/>
        <v>jun</v>
      </c>
      <c r="N104" s="2">
        <v>6</v>
      </c>
    </row>
    <row r="105" spans="2:14" x14ac:dyDescent="0.3">
      <c r="B105" s="2">
        <v>104</v>
      </c>
      <c r="C105" s="3">
        <v>45813</v>
      </c>
      <c r="D105" s="4" t="s">
        <v>26</v>
      </c>
      <c r="E105" s="4" t="s">
        <v>27</v>
      </c>
      <c r="F105" s="4" t="s">
        <v>28</v>
      </c>
      <c r="G105" s="4" t="s">
        <v>16</v>
      </c>
      <c r="H105" s="2">
        <v>30</v>
      </c>
      <c r="I105" s="2">
        <v>1</v>
      </c>
      <c r="J105" s="2">
        <v>1</v>
      </c>
      <c r="K105" s="2" t="str">
        <f t="shared" si="4"/>
        <v>1º Semestre</v>
      </c>
      <c r="L105" s="2" t="str">
        <f t="shared" si="5"/>
        <v>T2</v>
      </c>
      <c r="M105" s="2" t="str">
        <f t="shared" si="3"/>
        <v>jun</v>
      </c>
      <c r="N105" s="2">
        <v>6</v>
      </c>
    </row>
    <row r="106" spans="2:14" x14ac:dyDescent="0.3">
      <c r="B106" s="2">
        <v>105</v>
      </c>
      <c r="C106" s="3">
        <v>45814</v>
      </c>
      <c r="D106" s="4" t="s">
        <v>13</v>
      </c>
      <c r="E106" s="4" t="s">
        <v>17</v>
      </c>
      <c r="F106" s="4" t="s">
        <v>18</v>
      </c>
      <c r="G106" s="4" t="s">
        <v>16</v>
      </c>
      <c r="H106" s="2">
        <v>110</v>
      </c>
      <c r="I106" s="2">
        <v>2</v>
      </c>
      <c r="J106" s="2">
        <v>1</v>
      </c>
      <c r="K106" s="2" t="str">
        <f t="shared" si="4"/>
        <v>1º Semestre</v>
      </c>
      <c r="L106" s="2" t="str">
        <f t="shared" si="5"/>
        <v>T2</v>
      </c>
      <c r="M106" s="2" t="str">
        <f t="shared" si="3"/>
        <v>jun</v>
      </c>
      <c r="N106" s="2">
        <v>6</v>
      </c>
    </row>
    <row r="107" spans="2:14" x14ac:dyDescent="0.3">
      <c r="B107" s="2">
        <v>106</v>
      </c>
      <c r="C107" s="3">
        <v>45817</v>
      </c>
      <c r="D107" s="4" t="s">
        <v>30</v>
      </c>
      <c r="E107" s="4" t="s">
        <v>31</v>
      </c>
      <c r="F107" s="4" t="s">
        <v>32</v>
      </c>
      <c r="G107" s="4" t="s">
        <v>33</v>
      </c>
      <c r="H107" s="2">
        <v>25</v>
      </c>
      <c r="I107" s="2">
        <v>5</v>
      </c>
      <c r="J107" s="2">
        <v>0</v>
      </c>
      <c r="K107" s="2" t="str">
        <f t="shared" si="4"/>
        <v>1º Semestre</v>
      </c>
      <c r="L107" s="2" t="str">
        <f t="shared" si="5"/>
        <v>T2</v>
      </c>
      <c r="M107" s="2" t="str">
        <f t="shared" si="3"/>
        <v>jun</v>
      </c>
      <c r="N107" s="2">
        <v>6</v>
      </c>
    </row>
    <row r="108" spans="2:14" x14ac:dyDescent="0.3">
      <c r="B108" s="2">
        <v>107</v>
      </c>
      <c r="C108" s="3">
        <v>45818</v>
      </c>
      <c r="D108" s="4" t="s">
        <v>13</v>
      </c>
      <c r="E108" s="4" t="s">
        <v>37</v>
      </c>
      <c r="F108" s="4" t="s">
        <v>38</v>
      </c>
      <c r="G108" s="4" t="s">
        <v>22</v>
      </c>
      <c r="H108" s="2">
        <v>110</v>
      </c>
      <c r="I108" s="2">
        <v>2</v>
      </c>
      <c r="J108" s="2">
        <v>1</v>
      </c>
      <c r="K108" s="2" t="str">
        <f t="shared" si="4"/>
        <v>1º Semestre</v>
      </c>
      <c r="L108" s="2" t="str">
        <f t="shared" si="5"/>
        <v>T2</v>
      </c>
      <c r="M108" s="2" t="str">
        <f t="shared" si="3"/>
        <v>jun</v>
      </c>
      <c r="N108" s="2">
        <v>6</v>
      </c>
    </row>
    <row r="109" spans="2:14" x14ac:dyDescent="0.3">
      <c r="B109" s="2">
        <v>108</v>
      </c>
      <c r="C109" s="3">
        <v>45819</v>
      </c>
      <c r="D109" s="4" t="s">
        <v>26</v>
      </c>
      <c r="E109" s="4" t="s">
        <v>14</v>
      </c>
      <c r="F109" s="4" t="s">
        <v>29</v>
      </c>
      <c r="G109" s="4" t="s">
        <v>16</v>
      </c>
      <c r="H109" s="2">
        <v>30</v>
      </c>
      <c r="I109" s="2">
        <v>2</v>
      </c>
      <c r="J109" s="2">
        <v>1</v>
      </c>
      <c r="K109" s="2" t="str">
        <f t="shared" si="4"/>
        <v>1º Semestre</v>
      </c>
      <c r="L109" s="2" t="str">
        <f t="shared" si="5"/>
        <v>T2</v>
      </c>
      <c r="M109" s="2" t="str">
        <f t="shared" si="3"/>
        <v>jun</v>
      </c>
      <c r="N109" s="2">
        <v>6</v>
      </c>
    </row>
    <row r="110" spans="2:14" x14ac:dyDescent="0.3">
      <c r="B110" s="2">
        <v>109</v>
      </c>
      <c r="C110" s="3">
        <v>45820</v>
      </c>
      <c r="D110" s="4" t="s">
        <v>23</v>
      </c>
      <c r="E110" s="4" t="s">
        <v>20</v>
      </c>
      <c r="F110" s="4" t="s">
        <v>41</v>
      </c>
      <c r="G110" s="4" t="s">
        <v>33</v>
      </c>
      <c r="H110" s="2">
        <v>50</v>
      </c>
      <c r="I110" s="2">
        <v>6</v>
      </c>
      <c r="J110" s="2">
        <v>1</v>
      </c>
      <c r="K110" s="2" t="str">
        <f t="shared" si="4"/>
        <v>1º Semestre</v>
      </c>
      <c r="L110" s="2" t="str">
        <f t="shared" si="5"/>
        <v>T2</v>
      </c>
      <c r="M110" s="2" t="str">
        <f t="shared" si="3"/>
        <v>jun</v>
      </c>
      <c r="N110" s="2">
        <v>6</v>
      </c>
    </row>
    <row r="111" spans="2:14" x14ac:dyDescent="0.3">
      <c r="B111" s="2">
        <v>110</v>
      </c>
      <c r="C111" s="3">
        <v>45821</v>
      </c>
      <c r="D111" s="4" t="s">
        <v>13</v>
      </c>
      <c r="E111" s="4" t="s">
        <v>43</v>
      </c>
      <c r="F111" s="4" t="s">
        <v>44</v>
      </c>
      <c r="G111" s="4" t="s">
        <v>22</v>
      </c>
      <c r="H111" s="2">
        <v>109</v>
      </c>
      <c r="I111" s="2">
        <v>3</v>
      </c>
      <c r="J111" s="2">
        <v>2</v>
      </c>
      <c r="K111" s="2" t="str">
        <f t="shared" si="4"/>
        <v>1º Semestre</v>
      </c>
      <c r="L111" s="2" t="str">
        <f t="shared" si="5"/>
        <v>T2</v>
      </c>
      <c r="M111" s="2" t="str">
        <f t="shared" si="3"/>
        <v>jun</v>
      </c>
      <c r="N111" s="2">
        <v>6</v>
      </c>
    </row>
    <row r="112" spans="2:14" x14ac:dyDescent="0.3">
      <c r="B112" s="2">
        <v>111</v>
      </c>
      <c r="C112" s="3">
        <v>45824</v>
      </c>
      <c r="D112" s="4" t="s">
        <v>19</v>
      </c>
      <c r="E112" s="4" t="s">
        <v>24</v>
      </c>
      <c r="F112" s="4" t="s">
        <v>46</v>
      </c>
      <c r="G112" s="4" t="s">
        <v>22</v>
      </c>
      <c r="H112" s="2">
        <v>85</v>
      </c>
      <c r="I112" s="2">
        <v>3</v>
      </c>
      <c r="J112" s="2">
        <v>2</v>
      </c>
      <c r="K112" s="2" t="str">
        <f t="shared" si="4"/>
        <v>1º Semestre</v>
      </c>
      <c r="L112" s="2" t="str">
        <f t="shared" si="5"/>
        <v>T2</v>
      </c>
      <c r="M112" s="2" t="str">
        <f t="shared" si="3"/>
        <v>jun</v>
      </c>
      <c r="N112" s="2">
        <v>6</v>
      </c>
    </row>
    <row r="113" spans="2:14" x14ac:dyDescent="0.3">
      <c r="B113" s="2">
        <v>112</v>
      </c>
      <c r="C113" s="3">
        <v>45825</v>
      </c>
      <c r="D113" s="4" t="s">
        <v>30</v>
      </c>
      <c r="E113" s="4" t="s">
        <v>31</v>
      </c>
      <c r="F113" s="4" t="s">
        <v>32</v>
      </c>
      <c r="G113" s="4" t="s">
        <v>33</v>
      </c>
      <c r="H113" s="2">
        <v>25</v>
      </c>
      <c r="I113" s="2">
        <v>5</v>
      </c>
      <c r="J113" s="2">
        <v>2</v>
      </c>
      <c r="K113" s="2" t="str">
        <f t="shared" si="4"/>
        <v>1º Semestre</v>
      </c>
      <c r="L113" s="2" t="str">
        <f t="shared" si="5"/>
        <v>T2</v>
      </c>
      <c r="M113" s="2" t="str">
        <f t="shared" si="3"/>
        <v>jun</v>
      </c>
      <c r="N113" s="2">
        <v>6</v>
      </c>
    </row>
    <row r="114" spans="2:14" x14ac:dyDescent="0.3">
      <c r="B114" s="2">
        <v>113</v>
      </c>
      <c r="C114" s="3">
        <v>45826</v>
      </c>
      <c r="D114" s="4" t="s">
        <v>13</v>
      </c>
      <c r="E114" s="4" t="s">
        <v>17</v>
      </c>
      <c r="F114" s="4" t="s">
        <v>50</v>
      </c>
      <c r="G114" s="4" t="s">
        <v>16</v>
      </c>
      <c r="H114" s="2">
        <v>115</v>
      </c>
      <c r="I114" s="2">
        <v>2</v>
      </c>
      <c r="J114" s="2">
        <v>1</v>
      </c>
      <c r="K114" s="2" t="str">
        <f t="shared" si="4"/>
        <v>1º Semestre</v>
      </c>
      <c r="L114" s="2" t="str">
        <f t="shared" si="5"/>
        <v>T2</v>
      </c>
      <c r="M114" s="2" t="str">
        <f t="shared" si="3"/>
        <v>jun</v>
      </c>
      <c r="N114" s="2">
        <v>6</v>
      </c>
    </row>
    <row r="115" spans="2:14" x14ac:dyDescent="0.3">
      <c r="B115" s="2">
        <v>114</v>
      </c>
      <c r="C115" s="3">
        <v>45828</v>
      </c>
      <c r="D115" s="4" t="s">
        <v>26</v>
      </c>
      <c r="E115" s="4" t="s">
        <v>27</v>
      </c>
      <c r="F115" s="4" t="s">
        <v>39</v>
      </c>
      <c r="G115" s="4" t="s">
        <v>16</v>
      </c>
      <c r="H115" s="2">
        <v>30</v>
      </c>
      <c r="I115" s="2">
        <v>1</v>
      </c>
      <c r="J115" s="2">
        <v>1</v>
      </c>
      <c r="K115" s="2" t="str">
        <f t="shared" si="4"/>
        <v>1º Semestre</v>
      </c>
      <c r="L115" s="2" t="str">
        <f t="shared" si="5"/>
        <v>T2</v>
      </c>
      <c r="M115" s="2" t="str">
        <f t="shared" si="3"/>
        <v>jun</v>
      </c>
      <c r="N115" s="2">
        <v>6</v>
      </c>
    </row>
    <row r="116" spans="2:14" x14ac:dyDescent="0.3">
      <c r="B116" s="2">
        <v>115</v>
      </c>
      <c r="C116" s="3">
        <v>45831</v>
      </c>
      <c r="D116" s="4" t="s">
        <v>19</v>
      </c>
      <c r="E116" s="4" t="s">
        <v>20</v>
      </c>
      <c r="F116" s="4" t="s">
        <v>21</v>
      </c>
      <c r="G116" s="4" t="s">
        <v>22</v>
      </c>
      <c r="H116" s="2">
        <v>80</v>
      </c>
      <c r="I116" s="2">
        <v>5</v>
      </c>
      <c r="J116" s="2">
        <v>1</v>
      </c>
      <c r="K116" s="2" t="str">
        <f t="shared" si="4"/>
        <v>1º Semestre</v>
      </c>
      <c r="L116" s="2" t="str">
        <f t="shared" si="5"/>
        <v>T2</v>
      </c>
      <c r="M116" s="2" t="str">
        <f t="shared" si="3"/>
        <v>jun</v>
      </c>
      <c r="N116" s="2">
        <v>6</v>
      </c>
    </row>
    <row r="117" spans="2:14" x14ac:dyDescent="0.3">
      <c r="B117" s="2">
        <v>116</v>
      </c>
      <c r="C117" s="3">
        <v>45832</v>
      </c>
      <c r="D117" s="4" t="s">
        <v>13</v>
      </c>
      <c r="E117" s="4" t="s">
        <v>14</v>
      </c>
      <c r="F117" s="4" t="s">
        <v>15</v>
      </c>
      <c r="G117" s="4" t="s">
        <v>16</v>
      </c>
      <c r="H117" s="2">
        <v>115</v>
      </c>
      <c r="I117" s="2">
        <v>2</v>
      </c>
      <c r="J117" s="2">
        <v>1</v>
      </c>
      <c r="K117" s="2" t="str">
        <f t="shared" si="4"/>
        <v>1º Semestre</v>
      </c>
      <c r="L117" s="2" t="str">
        <f t="shared" si="5"/>
        <v>T2</v>
      </c>
      <c r="M117" s="2" t="str">
        <f t="shared" si="3"/>
        <v>jun</v>
      </c>
      <c r="N117" s="2">
        <v>6</v>
      </c>
    </row>
    <row r="118" spans="2:14" x14ac:dyDescent="0.3">
      <c r="B118" s="2">
        <v>117</v>
      </c>
      <c r="C118" s="3">
        <v>45833</v>
      </c>
      <c r="D118" s="4" t="s">
        <v>23</v>
      </c>
      <c r="E118" s="4" t="s">
        <v>24</v>
      </c>
      <c r="F118" s="4" t="s">
        <v>25</v>
      </c>
      <c r="G118" s="4" t="s">
        <v>22</v>
      </c>
      <c r="H118" s="2">
        <v>50</v>
      </c>
      <c r="I118" s="2">
        <v>4</v>
      </c>
      <c r="J118" s="2">
        <v>2</v>
      </c>
      <c r="K118" s="2" t="str">
        <f t="shared" si="4"/>
        <v>1º Semestre</v>
      </c>
      <c r="L118" s="2" t="str">
        <f t="shared" si="5"/>
        <v>T2</v>
      </c>
      <c r="M118" s="2" t="str">
        <f t="shared" si="3"/>
        <v>jun</v>
      </c>
      <c r="N118" s="2">
        <v>6</v>
      </c>
    </row>
    <row r="119" spans="2:14" x14ac:dyDescent="0.3">
      <c r="B119" s="2">
        <v>118</v>
      </c>
      <c r="C119" s="3">
        <v>45834</v>
      </c>
      <c r="D119" s="4" t="s">
        <v>13</v>
      </c>
      <c r="E119" s="4" t="s">
        <v>34</v>
      </c>
      <c r="F119" s="4" t="s">
        <v>35</v>
      </c>
      <c r="G119" s="4" t="s">
        <v>36</v>
      </c>
      <c r="H119" s="2">
        <v>109</v>
      </c>
      <c r="I119" s="2">
        <v>1</v>
      </c>
      <c r="J119" s="2">
        <v>1</v>
      </c>
      <c r="K119" s="2" t="str">
        <f t="shared" si="4"/>
        <v>1º Semestre</v>
      </c>
      <c r="L119" s="2" t="str">
        <f t="shared" si="5"/>
        <v>T2</v>
      </c>
      <c r="M119" s="2" t="str">
        <f t="shared" si="3"/>
        <v>jun</v>
      </c>
      <c r="N119" s="2">
        <v>6</v>
      </c>
    </row>
    <row r="120" spans="2:14" x14ac:dyDescent="0.3">
      <c r="B120" s="2">
        <v>119</v>
      </c>
      <c r="C120" s="3">
        <v>45835</v>
      </c>
      <c r="D120" s="4" t="s">
        <v>26</v>
      </c>
      <c r="E120" s="4" t="s">
        <v>14</v>
      </c>
      <c r="F120" s="4" t="s">
        <v>29</v>
      </c>
      <c r="G120" s="4" t="s">
        <v>16</v>
      </c>
      <c r="H120" s="2">
        <v>30</v>
      </c>
      <c r="I120" s="2">
        <v>2</v>
      </c>
      <c r="J120" s="2">
        <v>1</v>
      </c>
      <c r="K120" s="2" t="str">
        <f t="shared" si="4"/>
        <v>1º Semestre</v>
      </c>
      <c r="L120" s="2" t="str">
        <f t="shared" si="5"/>
        <v>T2</v>
      </c>
      <c r="M120" s="2" t="str">
        <f t="shared" si="3"/>
        <v>jun</v>
      </c>
      <c r="N120" s="2">
        <v>6</v>
      </c>
    </row>
    <row r="121" spans="2:14" x14ac:dyDescent="0.3">
      <c r="B121" s="2">
        <v>120</v>
      </c>
      <c r="C121" s="3">
        <v>45838</v>
      </c>
      <c r="D121" s="4" t="s">
        <v>23</v>
      </c>
      <c r="E121" s="4" t="s">
        <v>20</v>
      </c>
      <c r="F121" s="4" t="s">
        <v>41</v>
      </c>
      <c r="G121" s="4" t="s">
        <v>33</v>
      </c>
      <c r="H121" s="2">
        <v>44</v>
      </c>
      <c r="I121" s="2">
        <v>5</v>
      </c>
      <c r="J121" s="2">
        <v>1</v>
      </c>
      <c r="K121" s="2" t="str">
        <f t="shared" si="4"/>
        <v>1º Semestre</v>
      </c>
      <c r="L121" s="2" t="str">
        <f t="shared" si="5"/>
        <v>T2</v>
      </c>
      <c r="M121" s="2" t="str">
        <f t="shared" si="3"/>
        <v>jun</v>
      </c>
      <c r="N121" s="2">
        <v>6</v>
      </c>
    </row>
    <row r="122" spans="2:14" x14ac:dyDescent="0.3">
      <c r="B122" s="2">
        <v>121</v>
      </c>
      <c r="C122" s="3">
        <v>45840</v>
      </c>
      <c r="D122" s="4" t="s">
        <v>13</v>
      </c>
      <c r="E122" s="4" t="s">
        <v>14</v>
      </c>
      <c r="F122" s="4" t="s">
        <v>15</v>
      </c>
      <c r="G122" s="4" t="s">
        <v>16</v>
      </c>
      <c r="H122" s="2">
        <v>109</v>
      </c>
      <c r="I122" s="2">
        <v>2</v>
      </c>
      <c r="J122" s="2">
        <v>1</v>
      </c>
      <c r="K122" s="2" t="str">
        <f t="shared" si="4"/>
        <v>2º Semestre</v>
      </c>
      <c r="L122" s="2" t="str">
        <f t="shared" si="5"/>
        <v>T3</v>
      </c>
      <c r="M122" s="2" t="str">
        <f t="shared" si="3"/>
        <v>jul</v>
      </c>
      <c r="N122" s="2">
        <v>7</v>
      </c>
    </row>
    <row r="123" spans="2:14" x14ac:dyDescent="0.3">
      <c r="B123" s="2">
        <v>122</v>
      </c>
      <c r="C123" s="3">
        <v>45841</v>
      </c>
      <c r="D123" s="4" t="s">
        <v>19</v>
      </c>
      <c r="E123" s="4" t="s">
        <v>20</v>
      </c>
      <c r="F123" s="4" t="s">
        <v>21</v>
      </c>
      <c r="G123" s="4" t="s">
        <v>22</v>
      </c>
      <c r="H123" s="2">
        <v>80</v>
      </c>
      <c r="I123" s="2">
        <v>5</v>
      </c>
      <c r="J123" s="2">
        <v>1</v>
      </c>
      <c r="K123" s="2" t="str">
        <f t="shared" si="4"/>
        <v>2º Semestre</v>
      </c>
      <c r="L123" s="2" t="str">
        <f t="shared" si="5"/>
        <v>T3</v>
      </c>
      <c r="M123" s="2" t="str">
        <f t="shared" si="3"/>
        <v>jul</v>
      </c>
      <c r="N123" s="2">
        <v>7</v>
      </c>
    </row>
    <row r="124" spans="2:14" x14ac:dyDescent="0.3">
      <c r="B124" s="2">
        <v>123</v>
      </c>
      <c r="C124" s="3">
        <v>45842</v>
      </c>
      <c r="D124" s="4" t="s">
        <v>23</v>
      </c>
      <c r="E124" s="4" t="s">
        <v>24</v>
      </c>
      <c r="F124" s="4" t="s">
        <v>25</v>
      </c>
      <c r="G124" s="4" t="s">
        <v>22</v>
      </c>
      <c r="H124" s="2">
        <v>40</v>
      </c>
      <c r="I124" s="2">
        <v>4</v>
      </c>
      <c r="J124" s="2">
        <v>2</v>
      </c>
      <c r="K124" s="2" t="str">
        <f t="shared" si="4"/>
        <v>2º Semestre</v>
      </c>
      <c r="L124" s="2" t="str">
        <f t="shared" si="5"/>
        <v>T3</v>
      </c>
      <c r="M124" s="2" t="str">
        <f t="shared" si="3"/>
        <v>jul</v>
      </c>
      <c r="N124" s="2">
        <v>7</v>
      </c>
    </row>
    <row r="125" spans="2:14" x14ac:dyDescent="0.3">
      <c r="B125" s="2">
        <v>124</v>
      </c>
      <c r="C125" s="3">
        <v>45845</v>
      </c>
      <c r="D125" s="4" t="s">
        <v>26</v>
      </c>
      <c r="E125" s="4" t="s">
        <v>27</v>
      </c>
      <c r="F125" s="4" t="s">
        <v>28</v>
      </c>
      <c r="G125" s="4" t="s">
        <v>16</v>
      </c>
      <c r="H125" s="2">
        <v>15</v>
      </c>
      <c r="I125" s="2">
        <v>1</v>
      </c>
      <c r="J125" s="2">
        <v>1</v>
      </c>
      <c r="K125" s="2" t="str">
        <f t="shared" si="4"/>
        <v>2º Semestre</v>
      </c>
      <c r="L125" s="2" t="str">
        <f t="shared" si="5"/>
        <v>T3</v>
      </c>
      <c r="M125" s="2" t="str">
        <f t="shared" si="3"/>
        <v>jul</v>
      </c>
      <c r="N125" s="2">
        <v>7</v>
      </c>
    </row>
    <row r="126" spans="2:14" x14ac:dyDescent="0.3">
      <c r="B126" s="2">
        <v>125</v>
      </c>
      <c r="C126" s="3">
        <v>45846</v>
      </c>
      <c r="D126" s="4" t="s">
        <v>30</v>
      </c>
      <c r="E126" s="4" t="s">
        <v>31</v>
      </c>
      <c r="F126" s="4" t="s">
        <v>32</v>
      </c>
      <c r="G126" s="4" t="s">
        <v>33</v>
      </c>
      <c r="H126" s="2">
        <v>20</v>
      </c>
      <c r="I126" s="2">
        <v>7</v>
      </c>
      <c r="J126" s="2">
        <v>3</v>
      </c>
      <c r="K126" s="2" t="str">
        <f t="shared" si="4"/>
        <v>2º Semestre</v>
      </c>
      <c r="L126" s="2" t="str">
        <f t="shared" si="5"/>
        <v>T3</v>
      </c>
      <c r="M126" s="2" t="str">
        <f t="shared" si="3"/>
        <v>jul</v>
      </c>
      <c r="N126" s="2">
        <v>7</v>
      </c>
    </row>
    <row r="127" spans="2:14" x14ac:dyDescent="0.3">
      <c r="B127" s="2">
        <v>126</v>
      </c>
      <c r="C127" s="3">
        <v>45847</v>
      </c>
      <c r="D127" s="4" t="s">
        <v>13</v>
      </c>
      <c r="E127" s="4" t="s">
        <v>17</v>
      </c>
      <c r="F127" s="4" t="s">
        <v>18</v>
      </c>
      <c r="G127" s="4" t="s">
        <v>16</v>
      </c>
      <c r="H127" s="2">
        <v>110</v>
      </c>
      <c r="I127" s="2">
        <v>2</v>
      </c>
      <c r="J127" s="2">
        <v>1</v>
      </c>
      <c r="K127" s="2" t="str">
        <f t="shared" si="4"/>
        <v>2º Semestre</v>
      </c>
      <c r="L127" s="2" t="str">
        <f t="shared" si="5"/>
        <v>T3</v>
      </c>
      <c r="M127" s="2" t="str">
        <f t="shared" si="3"/>
        <v>jul</v>
      </c>
      <c r="N127" s="2">
        <v>7</v>
      </c>
    </row>
    <row r="128" spans="2:14" x14ac:dyDescent="0.3">
      <c r="B128" s="2">
        <v>127</v>
      </c>
      <c r="C128" s="3">
        <v>45848</v>
      </c>
      <c r="D128" s="4" t="s">
        <v>13</v>
      </c>
      <c r="E128" s="4" t="s">
        <v>37</v>
      </c>
      <c r="F128" s="4" t="s">
        <v>38</v>
      </c>
      <c r="G128" s="4" t="s">
        <v>22</v>
      </c>
      <c r="H128" s="2">
        <v>100</v>
      </c>
      <c r="I128" s="2">
        <v>2</v>
      </c>
      <c r="J128" s="2">
        <v>1</v>
      </c>
      <c r="K128" s="2" t="str">
        <f t="shared" si="4"/>
        <v>2º Semestre</v>
      </c>
      <c r="L128" s="2" t="str">
        <f t="shared" si="5"/>
        <v>T3</v>
      </c>
      <c r="M128" s="2" t="str">
        <f t="shared" si="3"/>
        <v>jul</v>
      </c>
      <c r="N128" s="2">
        <v>7</v>
      </c>
    </row>
    <row r="129" spans="2:14" x14ac:dyDescent="0.3">
      <c r="B129" s="2">
        <v>128</v>
      </c>
      <c r="C129" s="3">
        <v>45849</v>
      </c>
      <c r="D129" s="4" t="s">
        <v>26</v>
      </c>
      <c r="E129" s="4" t="s">
        <v>14</v>
      </c>
      <c r="F129" s="4" t="s">
        <v>29</v>
      </c>
      <c r="G129" s="4" t="s">
        <v>16</v>
      </c>
      <c r="H129" s="2">
        <v>15</v>
      </c>
      <c r="I129" s="2">
        <v>2</v>
      </c>
      <c r="J129" s="2">
        <v>1</v>
      </c>
      <c r="K129" s="2" t="str">
        <f t="shared" si="4"/>
        <v>2º Semestre</v>
      </c>
      <c r="L129" s="2" t="str">
        <f t="shared" si="5"/>
        <v>T3</v>
      </c>
      <c r="M129" s="2" t="str">
        <f t="shared" si="3"/>
        <v>jul</v>
      </c>
      <c r="N129" s="2">
        <v>7</v>
      </c>
    </row>
    <row r="130" spans="2:14" x14ac:dyDescent="0.3">
      <c r="B130" s="2">
        <v>129</v>
      </c>
      <c r="C130" s="3">
        <v>45852</v>
      </c>
      <c r="D130" s="4" t="s">
        <v>23</v>
      </c>
      <c r="E130" s="4" t="s">
        <v>20</v>
      </c>
      <c r="F130" s="4" t="s">
        <v>41</v>
      </c>
      <c r="G130" s="4" t="s">
        <v>33</v>
      </c>
      <c r="H130" s="2">
        <v>40</v>
      </c>
      <c r="I130" s="2">
        <v>5</v>
      </c>
      <c r="J130" s="2">
        <v>1</v>
      </c>
      <c r="K130" s="2" t="str">
        <f t="shared" si="4"/>
        <v>2º Semestre</v>
      </c>
      <c r="L130" s="2" t="str">
        <f t="shared" si="5"/>
        <v>T3</v>
      </c>
      <c r="M130" s="2" t="str">
        <f t="shared" ref="M130:M193" si="6">TEXT(C130,"MMM")</f>
        <v>jul</v>
      </c>
      <c r="N130" s="2">
        <v>7</v>
      </c>
    </row>
    <row r="131" spans="2:14" x14ac:dyDescent="0.3">
      <c r="B131" s="2">
        <v>130</v>
      </c>
      <c r="C131" s="3">
        <v>45853</v>
      </c>
      <c r="D131" s="4" t="s">
        <v>13</v>
      </c>
      <c r="E131" s="4" t="s">
        <v>43</v>
      </c>
      <c r="F131" s="4" t="s">
        <v>44</v>
      </c>
      <c r="G131" s="4" t="s">
        <v>22</v>
      </c>
      <c r="H131" s="2">
        <v>110</v>
      </c>
      <c r="I131" s="2">
        <v>3</v>
      </c>
      <c r="J131" s="2">
        <v>2</v>
      </c>
      <c r="K131" s="2" t="str">
        <f t="shared" ref="K131:K194" si="7">IF(MONTH(M131 &amp; " 1")&lt;=6, "1º Semestre", "2º Semestre")</f>
        <v>2º Semestre</v>
      </c>
      <c r="L131" s="2" t="str">
        <f t="shared" ref="L131:L194" si="8">"T"&amp;ROUNDUP(VALUE(N131)/3,0)</f>
        <v>T3</v>
      </c>
      <c r="M131" s="2" t="str">
        <f t="shared" si="6"/>
        <v>jul</v>
      </c>
      <c r="N131" s="2">
        <v>7</v>
      </c>
    </row>
    <row r="132" spans="2:14" x14ac:dyDescent="0.3">
      <c r="B132" s="2">
        <v>131</v>
      </c>
      <c r="C132" s="3">
        <v>45854</v>
      </c>
      <c r="D132" s="4" t="s">
        <v>19</v>
      </c>
      <c r="E132" s="4" t="s">
        <v>24</v>
      </c>
      <c r="F132" s="4" t="s">
        <v>46</v>
      </c>
      <c r="G132" s="4" t="s">
        <v>22</v>
      </c>
      <c r="H132" s="2">
        <v>87</v>
      </c>
      <c r="I132" s="2">
        <v>3</v>
      </c>
      <c r="J132" s="2">
        <v>2</v>
      </c>
      <c r="K132" s="2" t="str">
        <f t="shared" si="7"/>
        <v>2º Semestre</v>
      </c>
      <c r="L132" s="2" t="str">
        <f t="shared" si="8"/>
        <v>T3</v>
      </c>
      <c r="M132" s="2" t="str">
        <f t="shared" si="6"/>
        <v>jul</v>
      </c>
      <c r="N132" s="2">
        <v>7</v>
      </c>
    </row>
    <row r="133" spans="2:14" x14ac:dyDescent="0.3">
      <c r="B133" s="2">
        <v>132</v>
      </c>
      <c r="C133" s="3">
        <v>45855</v>
      </c>
      <c r="D133" s="4" t="s">
        <v>30</v>
      </c>
      <c r="E133" s="4" t="s">
        <v>17</v>
      </c>
      <c r="F133" s="4" t="s">
        <v>50</v>
      </c>
      <c r="G133" s="4" t="s">
        <v>16</v>
      </c>
      <c r="H133" s="2">
        <v>20</v>
      </c>
      <c r="I133" s="2">
        <v>5</v>
      </c>
      <c r="J133" s="2">
        <v>2</v>
      </c>
      <c r="K133" s="2" t="str">
        <f t="shared" si="7"/>
        <v>2º Semestre</v>
      </c>
      <c r="L133" s="2" t="str">
        <f t="shared" si="8"/>
        <v>T3</v>
      </c>
      <c r="M133" s="2" t="str">
        <f t="shared" si="6"/>
        <v>jul</v>
      </c>
      <c r="N133" s="2">
        <v>7</v>
      </c>
    </row>
    <row r="134" spans="2:14" x14ac:dyDescent="0.3">
      <c r="B134" s="2">
        <v>133</v>
      </c>
      <c r="C134" s="3">
        <v>45859</v>
      </c>
      <c r="D134" s="4" t="s">
        <v>13</v>
      </c>
      <c r="E134" s="4" t="s">
        <v>14</v>
      </c>
      <c r="F134" s="4" t="s">
        <v>15</v>
      </c>
      <c r="G134" s="4" t="s">
        <v>16</v>
      </c>
      <c r="H134" s="2">
        <v>110</v>
      </c>
      <c r="I134" s="2">
        <v>2</v>
      </c>
      <c r="J134" s="2">
        <v>1</v>
      </c>
      <c r="K134" s="2" t="str">
        <f t="shared" si="7"/>
        <v>2º Semestre</v>
      </c>
      <c r="L134" s="2" t="str">
        <f t="shared" si="8"/>
        <v>T3</v>
      </c>
      <c r="M134" s="2" t="str">
        <f t="shared" si="6"/>
        <v>jul</v>
      </c>
      <c r="N134" s="2">
        <v>7</v>
      </c>
    </row>
    <row r="135" spans="2:14" x14ac:dyDescent="0.3">
      <c r="B135" s="2">
        <v>134</v>
      </c>
      <c r="C135" s="3">
        <v>45860</v>
      </c>
      <c r="D135" s="4" t="s">
        <v>26</v>
      </c>
      <c r="E135" s="4" t="s">
        <v>27</v>
      </c>
      <c r="F135" s="4" t="s">
        <v>39</v>
      </c>
      <c r="G135" s="4" t="s">
        <v>16</v>
      </c>
      <c r="H135" s="2">
        <v>15</v>
      </c>
      <c r="I135" s="2">
        <v>1</v>
      </c>
      <c r="J135" s="2">
        <v>1</v>
      </c>
      <c r="K135" s="2" t="str">
        <f t="shared" si="7"/>
        <v>2º Semestre</v>
      </c>
      <c r="L135" s="2" t="str">
        <f t="shared" si="8"/>
        <v>T3</v>
      </c>
      <c r="M135" s="2" t="str">
        <f t="shared" si="6"/>
        <v>jul</v>
      </c>
      <c r="N135" s="2">
        <v>7</v>
      </c>
    </row>
    <row r="136" spans="2:14" x14ac:dyDescent="0.3">
      <c r="B136" s="2">
        <v>135</v>
      </c>
      <c r="C136" s="3">
        <v>45861</v>
      </c>
      <c r="D136" s="4" t="s">
        <v>19</v>
      </c>
      <c r="E136" s="4" t="s">
        <v>20</v>
      </c>
      <c r="F136" s="4" t="s">
        <v>21</v>
      </c>
      <c r="G136" s="4" t="s">
        <v>22</v>
      </c>
      <c r="H136" s="2">
        <v>87</v>
      </c>
      <c r="I136" s="2">
        <v>5</v>
      </c>
      <c r="J136" s="2">
        <v>1</v>
      </c>
      <c r="K136" s="2" t="str">
        <f t="shared" si="7"/>
        <v>2º Semestre</v>
      </c>
      <c r="L136" s="2" t="str">
        <f t="shared" si="8"/>
        <v>T3</v>
      </c>
      <c r="M136" s="2" t="str">
        <f t="shared" si="6"/>
        <v>jul</v>
      </c>
      <c r="N136" s="2">
        <v>7</v>
      </c>
    </row>
    <row r="137" spans="2:14" x14ac:dyDescent="0.3">
      <c r="B137" s="2">
        <v>136</v>
      </c>
      <c r="C137" s="3">
        <v>45862</v>
      </c>
      <c r="D137" s="4" t="s">
        <v>30</v>
      </c>
      <c r="E137" s="4" t="s">
        <v>31</v>
      </c>
      <c r="F137" s="4" t="s">
        <v>32</v>
      </c>
      <c r="G137" s="4" t="s">
        <v>33</v>
      </c>
      <c r="H137" s="2">
        <v>20</v>
      </c>
      <c r="I137" s="2">
        <v>8</v>
      </c>
      <c r="J137" s="2">
        <v>0</v>
      </c>
      <c r="K137" s="2" t="str">
        <f t="shared" si="7"/>
        <v>2º Semestre</v>
      </c>
      <c r="L137" s="2" t="str">
        <f t="shared" si="8"/>
        <v>T3</v>
      </c>
      <c r="M137" s="2" t="str">
        <f t="shared" si="6"/>
        <v>jul</v>
      </c>
      <c r="N137" s="2">
        <v>7</v>
      </c>
    </row>
    <row r="138" spans="2:14" x14ac:dyDescent="0.3">
      <c r="B138" s="2">
        <v>137</v>
      </c>
      <c r="C138" s="3">
        <v>45863</v>
      </c>
      <c r="D138" s="4" t="s">
        <v>13</v>
      </c>
      <c r="E138" s="4" t="s">
        <v>34</v>
      </c>
      <c r="F138" s="4" t="s">
        <v>35</v>
      </c>
      <c r="G138" s="4" t="s">
        <v>36</v>
      </c>
      <c r="H138" s="2">
        <v>109</v>
      </c>
      <c r="I138" s="2">
        <v>1</v>
      </c>
      <c r="J138" s="2">
        <v>1</v>
      </c>
      <c r="K138" s="2" t="str">
        <f t="shared" si="7"/>
        <v>2º Semestre</v>
      </c>
      <c r="L138" s="2" t="str">
        <f t="shared" si="8"/>
        <v>T3</v>
      </c>
      <c r="M138" s="2" t="str">
        <f t="shared" si="6"/>
        <v>jul</v>
      </c>
      <c r="N138" s="2">
        <v>7</v>
      </c>
    </row>
    <row r="139" spans="2:14" x14ac:dyDescent="0.3">
      <c r="B139" s="2">
        <v>138</v>
      </c>
      <c r="C139" s="3">
        <v>45866</v>
      </c>
      <c r="D139" s="4" t="s">
        <v>23</v>
      </c>
      <c r="E139" s="4" t="s">
        <v>24</v>
      </c>
      <c r="F139" s="4" t="s">
        <v>25</v>
      </c>
      <c r="G139" s="4" t="s">
        <v>22</v>
      </c>
      <c r="H139" s="2">
        <v>40</v>
      </c>
      <c r="I139" s="2">
        <v>4</v>
      </c>
      <c r="J139" s="2">
        <v>2</v>
      </c>
      <c r="K139" s="2" t="str">
        <f t="shared" si="7"/>
        <v>2º Semestre</v>
      </c>
      <c r="L139" s="2" t="str">
        <f t="shared" si="8"/>
        <v>T3</v>
      </c>
      <c r="M139" s="2" t="str">
        <f t="shared" si="6"/>
        <v>jul</v>
      </c>
      <c r="N139" s="2">
        <v>7</v>
      </c>
    </row>
    <row r="140" spans="2:14" x14ac:dyDescent="0.3">
      <c r="B140" s="2">
        <v>139</v>
      </c>
      <c r="C140" s="3">
        <v>45867</v>
      </c>
      <c r="D140" s="4" t="s">
        <v>13</v>
      </c>
      <c r="E140" s="4" t="s">
        <v>17</v>
      </c>
      <c r="F140" s="4" t="s">
        <v>18</v>
      </c>
      <c r="G140" s="4" t="s">
        <v>16</v>
      </c>
      <c r="H140" s="2">
        <v>109</v>
      </c>
      <c r="I140" s="2">
        <v>2</v>
      </c>
      <c r="J140" s="2">
        <v>1</v>
      </c>
      <c r="K140" s="2" t="str">
        <f t="shared" si="7"/>
        <v>2º Semestre</v>
      </c>
      <c r="L140" s="2" t="str">
        <f t="shared" si="8"/>
        <v>T3</v>
      </c>
      <c r="M140" s="2" t="str">
        <f t="shared" si="6"/>
        <v>jul</v>
      </c>
      <c r="N140" s="2">
        <v>7</v>
      </c>
    </row>
    <row r="141" spans="2:14" x14ac:dyDescent="0.3">
      <c r="B141" s="2">
        <v>140</v>
      </c>
      <c r="C141" s="3">
        <v>45868</v>
      </c>
      <c r="D141" s="4" t="s">
        <v>26</v>
      </c>
      <c r="E141" s="4" t="s">
        <v>14</v>
      </c>
      <c r="F141" s="4" t="s">
        <v>29</v>
      </c>
      <c r="G141" s="4" t="s">
        <v>16</v>
      </c>
      <c r="H141" s="2">
        <v>15</v>
      </c>
      <c r="I141" s="2">
        <v>2</v>
      </c>
      <c r="J141" s="2">
        <v>1</v>
      </c>
      <c r="K141" s="2" t="str">
        <f t="shared" si="7"/>
        <v>2º Semestre</v>
      </c>
      <c r="L141" s="2" t="str">
        <f t="shared" si="8"/>
        <v>T3</v>
      </c>
      <c r="M141" s="2" t="str">
        <f t="shared" si="6"/>
        <v>jul</v>
      </c>
      <c r="N141" s="2">
        <v>7</v>
      </c>
    </row>
    <row r="142" spans="2:14" x14ac:dyDescent="0.3">
      <c r="B142" s="2">
        <v>141</v>
      </c>
      <c r="C142" s="3">
        <v>45870</v>
      </c>
      <c r="D142" s="4" t="s">
        <v>30</v>
      </c>
      <c r="E142" s="4" t="s">
        <v>31</v>
      </c>
      <c r="F142" s="4" t="s">
        <v>32</v>
      </c>
      <c r="G142" s="4" t="s">
        <v>33</v>
      </c>
      <c r="H142" s="2">
        <v>20</v>
      </c>
      <c r="I142" s="2">
        <v>9</v>
      </c>
      <c r="J142" s="2">
        <v>2</v>
      </c>
      <c r="K142" s="2" t="str">
        <f t="shared" si="7"/>
        <v>2º Semestre</v>
      </c>
      <c r="L142" s="2" t="str">
        <f t="shared" si="8"/>
        <v>T3</v>
      </c>
      <c r="M142" s="2" t="str">
        <f t="shared" si="6"/>
        <v>ago</v>
      </c>
      <c r="N142" s="2">
        <v>8</v>
      </c>
    </row>
    <row r="143" spans="2:14" x14ac:dyDescent="0.3">
      <c r="B143" s="2">
        <v>142</v>
      </c>
      <c r="C143" s="3">
        <v>45873</v>
      </c>
      <c r="D143" s="4" t="s">
        <v>13</v>
      </c>
      <c r="E143" s="4" t="s">
        <v>14</v>
      </c>
      <c r="F143" s="4" t="s">
        <v>15</v>
      </c>
      <c r="G143" s="4" t="s">
        <v>16</v>
      </c>
      <c r="H143" s="2">
        <v>100</v>
      </c>
      <c r="I143" s="2">
        <v>2</v>
      </c>
      <c r="J143" s="2">
        <v>1</v>
      </c>
      <c r="K143" s="2" t="str">
        <f t="shared" si="7"/>
        <v>2º Semestre</v>
      </c>
      <c r="L143" s="2" t="str">
        <f t="shared" si="8"/>
        <v>T3</v>
      </c>
      <c r="M143" s="2" t="str">
        <f t="shared" si="6"/>
        <v>ago</v>
      </c>
      <c r="N143" s="2">
        <v>8</v>
      </c>
    </row>
    <row r="144" spans="2:14" x14ac:dyDescent="0.3">
      <c r="B144" s="2">
        <v>143</v>
      </c>
      <c r="C144" s="3">
        <v>45874</v>
      </c>
      <c r="D144" s="4" t="s">
        <v>19</v>
      </c>
      <c r="E144" s="4" t="s">
        <v>20</v>
      </c>
      <c r="F144" s="4" t="s">
        <v>21</v>
      </c>
      <c r="G144" s="4" t="s">
        <v>22</v>
      </c>
      <c r="H144" s="2">
        <v>83</v>
      </c>
      <c r="I144" s="2">
        <v>4</v>
      </c>
      <c r="J144" s="2">
        <v>1</v>
      </c>
      <c r="K144" s="2" t="str">
        <f t="shared" si="7"/>
        <v>2º Semestre</v>
      </c>
      <c r="L144" s="2" t="str">
        <f t="shared" si="8"/>
        <v>T3</v>
      </c>
      <c r="M144" s="2" t="str">
        <f t="shared" si="6"/>
        <v>ago</v>
      </c>
      <c r="N144" s="2">
        <v>8</v>
      </c>
    </row>
    <row r="145" spans="2:14" x14ac:dyDescent="0.3">
      <c r="B145" s="2">
        <v>144</v>
      </c>
      <c r="C145" s="3">
        <v>45875</v>
      </c>
      <c r="D145" s="4" t="s">
        <v>23</v>
      </c>
      <c r="E145" s="4" t="s">
        <v>24</v>
      </c>
      <c r="F145" s="4" t="s">
        <v>25</v>
      </c>
      <c r="G145" s="4" t="s">
        <v>22</v>
      </c>
      <c r="H145" s="2">
        <v>45</v>
      </c>
      <c r="I145" s="2">
        <v>4</v>
      </c>
      <c r="J145" s="2">
        <v>2</v>
      </c>
      <c r="K145" s="2" t="str">
        <f t="shared" si="7"/>
        <v>2º Semestre</v>
      </c>
      <c r="L145" s="2" t="str">
        <f t="shared" si="8"/>
        <v>T3</v>
      </c>
      <c r="M145" s="2" t="str">
        <f t="shared" si="6"/>
        <v>ago</v>
      </c>
      <c r="N145" s="2">
        <v>8</v>
      </c>
    </row>
    <row r="146" spans="2:14" x14ac:dyDescent="0.3">
      <c r="B146" s="2">
        <v>145</v>
      </c>
      <c r="C146" s="3">
        <v>45876</v>
      </c>
      <c r="D146" s="4" t="s">
        <v>30</v>
      </c>
      <c r="E146" s="4" t="s">
        <v>17</v>
      </c>
      <c r="F146" s="4" t="s">
        <v>50</v>
      </c>
      <c r="G146" s="4" t="s">
        <v>16</v>
      </c>
      <c r="H146" s="2">
        <v>20</v>
      </c>
      <c r="I146" s="2">
        <v>6</v>
      </c>
      <c r="J146" s="2">
        <v>3</v>
      </c>
      <c r="K146" s="2" t="str">
        <f t="shared" si="7"/>
        <v>2º Semestre</v>
      </c>
      <c r="L146" s="2" t="str">
        <f t="shared" si="8"/>
        <v>T3</v>
      </c>
      <c r="M146" s="2" t="str">
        <f t="shared" si="6"/>
        <v>ago</v>
      </c>
      <c r="N146" s="2">
        <v>8</v>
      </c>
    </row>
    <row r="147" spans="2:14" x14ac:dyDescent="0.3">
      <c r="B147" s="2">
        <v>146</v>
      </c>
      <c r="C147" s="3">
        <v>45877</v>
      </c>
      <c r="D147" s="4" t="s">
        <v>13</v>
      </c>
      <c r="E147" s="4" t="s">
        <v>37</v>
      </c>
      <c r="F147" s="4" t="s">
        <v>38</v>
      </c>
      <c r="G147" s="4" t="s">
        <v>22</v>
      </c>
      <c r="H147" s="2">
        <v>100</v>
      </c>
      <c r="I147" s="2">
        <v>2</v>
      </c>
      <c r="J147" s="2">
        <v>1</v>
      </c>
      <c r="K147" s="2" t="str">
        <f t="shared" si="7"/>
        <v>2º Semestre</v>
      </c>
      <c r="L147" s="2" t="str">
        <f t="shared" si="8"/>
        <v>T3</v>
      </c>
      <c r="M147" s="2" t="str">
        <f t="shared" si="6"/>
        <v>ago</v>
      </c>
      <c r="N147" s="2">
        <v>8</v>
      </c>
    </row>
    <row r="148" spans="2:14" x14ac:dyDescent="0.3">
      <c r="B148" s="2">
        <v>147</v>
      </c>
      <c r="C148" s="3">
        <v>45880</v>
      </c>
      <c r="D148" s="4" t="s">
        <v>26</v>
      </c>
      <c r="E148" s="4" t="s">
        <v>27</v>
      </c>
      <c r="F148" s="4" t="s">
        <v>28</v>
      </c>
      <c r="G148" s="4" t="s">
        <v>16</v>
      </c>
      <c r="H148" s="2">
        <v>20</v>
      </c>
      <c r="I148" s="2">
        <v>1</v>
      </c>
      <c r="J148" s="2">
        <v>1</v>
      </c>
      <c r="K148" s="2" t="str">
        <f t="shared" si="7"/>
        <v>2º Semestre</v>
      </c>
      <c r="L148" s="2" t="str">
        <f t="shared" si="8"/>
        <v>T3</v>
      </c>
      <c r="M148" s="2" t="str">
        <f t="shared" si="6"/>
        <v>ago</v>
      </c>
      <c r="N148" s="2">
        <v>8</v>
      </c>
    </row>
    <row r="149" spans="2:14" x14ac:dyDescent="0.3">
      <c r="B149" s="2">
        <v>148</v>
      </c>
      <c r="C149" s="3">
        <v>45881</v>
      </c>
      <c r="D149" s="4" t="s">
        <v>30</v>
      </c>
      <c r="E149" s="4" t="s">
        <v>31</v>
      </c>
      <c r="F149" s="4" t="s">
        <v>32</v>
      </c>
      <c r="G149" s="4" t="s">
        <v>33</v>
      </c>
      <c r="H149" s="2">
        <v>20</v>
      </c>
      <c r="I149" s="2">
        <v>10</v>
      </c>
      <c r="J149" s="2">
        <v>7</v>
      </c>
      <c r="K149" s="2" t="str">
        <f t="shared" si="7"/>
        <v>2º Semestre</v>
      </c>
      <c r="L149" s="2" t="str">
        <f t="shared" si="8"/>
        <v>T3</v>
      </c>
      <c r="M149" s="2" t="str">
        <f t="shared" si="6"/>
        <v>ago</v>
      </c>
      <c r="N149" s="2">
        <v>8</v>
      </c>
    </row>
    <row r="150" spans="2:14" x14ac:dyDescent="0.3">
      <c r="B150" s="2">
        <v>149</v>
      </c>
      <c r="C150" s="3">
        <v>45882</v>
      </c>
      <c r="D150" s="4" t="s">
        <v>13</v>
      </c>
      <c r="E150" s="4" t="s">
        <v>43</v>
      </c>
      <c r="F150" s="4" t="s">
        <v>44</v>
      </c>
      <c r="G150" s="4" t="s">
        <v>22</v>
      </c>
      <c r="H150" s="2">
        <v>100</v>
      </c>
      <c r="I150" s="2">
        <v>3</v>
      </c>
      <c r="J150" s="2">
        <v>2</v>
      </c>
      <c r="K150" s="2" t="str">
        <f t="shared" si="7"/>
        <v>2º Semestre</v>
      </c>
      <c r="L150" s="2" t="str">
        <f t="shared" si="8"/>
        <v>T3</v>
      </c>
      <c r="M150" s="2" t="str">
        <f t="shared" si="6"/>
        <v>ago</v>
      </c>
      <c r="N150" s="2">
        <v>8</v>
      </c>
    </row>
    <row r="151" spans="2:14" x14ac:dyDescent="0.3">
      <c r="B151" s="2">
        <v>150</v>
      </c>
      <c r="C151" s="3">
        <v>45883</v>
      </c>
      <c r="D151" s="4" t="s">
        <v>19</v>
      </c>
      <c r="E151" s="4" t="s">
        <v>24</v>
      </c>
      <c r="F151" s="4" t="s">
        <v>46</v>
      </c>
      <c r="G151" s="4" t="s">
        <v>22</v>
      </c>
      <c r="H151" s="2">
        <v>70</v>
      </c>
      <c r="I151" s="2">
        <v>3</v>
      </c>
      <c r="J151" s="2">
        <v>2</v>
      </c>
      <c r="K151" s="2" t="str">
        <f t="shared" si="7"/>
        <v>2º Semestre</v>
      </c>
      <c r="L151" s="2" t="str">
        <f t="shared" si="8"/>
        <v>T3</v>
      </c>
      <c r="M151" s="2" t="str">
        <f t="shared" si="6"/>
        <v>ago</v>
      </c>
      <c r="N151" s="2">
        <v>8</v>
      </c>
    </row>
    <row r="152" spans="2:14" x14ac:dyDescent="0.3">
      <c r="B152" s="2">
        <v>151</v>
      </c>
      <c r="C152" s="3">
        <v>45884</v>
      </c>
      <c r="D152" s="4" t="s">
        <v>13</v>
      </c>
      <c r="E152" s="4" t="s">
        <v>34</v>
      </c>
      <c r="F152" s="4" t="s">
        <v>35</v>
      </c>
      <c r="G152" s="4" t="s">
        <v>36</v>
      </c>
      <c r="H152" s="2">
        <v>120</v>
      </c>
      <c r="I152" s="2">
        <v>1</v>
      </c>
      <c r="J152" s="2">
        <v>1</v>
      </c>
      <c r="K152" s="2" t="str">
        <f t="shared" si="7"/>
        <v>2º Semestre</v>
      </c>
      <c r="L152" s="2" t="str">
        <f t="shared" si="8"/>
        <v>T3</v>
      </c>
      <c r="M152" s="2" t="str">
        <f t="shared" si="6"/>
        <v>ago</v>
      </c>
      <c r="N152" s="2">
        <v>8</v>
      </c>
    </row>
    <row r="153" spans="2:14" x14ac:dyDescent="0.3">
      <c r="B153" s="2">
        <v>152</v>
      </c>
      <c r="C153" s="3">
        <v>45887</v>
      </c>
      <c r="D153" s="4" t="s">
        <v>23</v>
      </c>
      <c r="E153" s="4" t="s">
        <v>20</v>
      </c>
      <c r="F153" s="4" t="s">
        <v>41</v>
      </c>
      <c r="G153" s="4" t="s">
        <v>33</v>
      </c>
      <c r="H153" s="2">
        <v>45</v>
      </c>
      <c r="I153" s="2">
        <v>5</v>
      </c>
      <c r="J153" s="2">
        <v>1</v>
      </c>
      <c r="K153" s="2" t="str">
        <f t="shared" si="7"/>
        <v>2º Semestre</v>
      </c>
      <c r="L153" s="2" t="str">
        <f t="shared" si="8"/>
        <v>T3</v>
      </c>
      <c r="M153" s="2" t="str">
        <f t="shared" si="6"/>
        <v>ago</v>
      </c>
      <c r="N153" s="2">
        <v>8</v>
      </c>
    </row>
    <row r="154" spans="2:14" x14ac:dyDescent="0.3">
      <c r="B154" s="2">
        <v>153</v>
      </c>
      <c r="C154" s="3">
        <v>45888</v>
      </c>
      <c r="D154" s="4" t="s">
        <v>26</v>
      </c>
      <c r="E154" s="4" t="s">
        <v>14</v>
      </c>
      <c r="F154" s="4" t="s">
        <v>29</v>
      </c>
      <c r="G154" s="4" t="s">
        <v>16</v>
      </c>
      <c r="H154" s="2">
        <v>20</v>
      </c>
      <c r="I154" s="2">
        <v>2</v>
      </c>
      <c r="J154" s="2">
        <v>1</v>
      </c>
      <c r="K154" s="2" t="str">
        <f t="shared" si="7"/>
        <v>2º Semestre</v>
      </c>
      <c r="L154" s="2" t="str">
        <f t="shared" si="8"/>
        <v>T3</v>
      </c>
      <c r="M154" s="2" t="str">
        <f t="shared" si="6"/>
        <v>ago</v>
      </c>
      <c r="N154" s="2">
        <v>8</v>
      </c>
    </row>
    <row r="155" spans="2:14" x14ac:dyDescent="0.3">
      <c r="B155" s="2">
        <v>154</v>
      </c>
      <c r="C155" s="3">
        <v>45889</v>
      </c>
      <c r="D155" s="4" t="s">
        <v>13</v>
      </c>
      <c r="E155" s="4" t="s">
        <v>17</v>
      </c>
      <c r="F155" s="4" t="s">
        <v>18</v>
      </c>
      <c r="G155" s="4" t="s">
        <v>16</v>
      </c>
      <c r="H155" s="2">
        <v>110</v>
      </c>
      <c r="I155" s="2">
        <v>2</v>
      </c>
      <c r="J155" s="2">
        <v>1</v>
      </c>
      <c r="K155" s="2" t="str">
        <f t="shared" si="7"/>
        <v>2º Semestre</v>
      </c>
      <c r="L155" s="2" t="str">
        <f t="shared" si="8"/>
        <v>T3</v>
      </c>
      <c r="M155" s="2" t="str">
        <f t="shared" si="6"/>
        <v>ago</v>
      </c>
      <c r="N155" s="2">
        <v>8</v>
      </c>
    </row>
    <row r="156" spans="2:14" x14ac:dyDescent="0.3">
      <c r="B156" s="2">
        <v>155</v>
      </c>
      <c r="C156" s="3">
        <v>45890</v>
      </c>
      <c r="D156" s="4" t="s">
        <v>30</v>
      </c>
      <c r="E156" s="4" t="s">
        <v>31</v>
      </c>
      <c r="F156" s="4" t="s">
        <v>32</v>
      </c>
      <c r="G156" s="4" t="s">
        <v>33</v>
      </c>
      <c r="H156" s="2">
        <v>20</v>
      </c>
      <c r="I156" s="2">
        <v>9</v>
      </c>
      <c r="J156" s="2">
        <v>0</v>
      </c>
      <c r="K156" s="2" t="str">
        <f t="shared" si="7"/>
        <v>2º Semestre</v>
      </c>
      <c r="L156" s="2" t="str">
        <f t="shared" si="8"/>
        <v>T3</v>
      </c>
      <c r="M156" s="2" t="str">
        <f t="shared" si="6"/>
        <v>ago</v>
      </c>
      <c r="N156" s="2">
        <v>8</v>
      </c>
    </row>
    <row r="157" spans="2:14" x14ac:dyDescent="0.3">
      <c r="B157" s="2">
        <v>156</v>
      </c>
      <c r="C157" s="3">
        <v>45891</v>
      </c>
      <c r="D157" s="4" t="s">
        <v>13</v>
      </c>
      <c r="E157" s="4" t="s">
        <v>14</v>
      </c>
      <c r="F157" s="4" t="s">
        <v>15</v>
      </c>
      <c r="G157" s="4" t="s">
        <v>16</v>
      </c>
      <c r="H157" s="2">
        <v>110</v>
      </c>
      <c r="I157" s="2">
        <v>2</v>
      </c>
      <c r="J157" s="2">
        <v>1</v>
      </c>
      <c r="K157" s="2" t="str">
        <f t="shared" si="7"/>
        <v>2º Semestre</v>
      </c>
      <c r="L157" s="2" t="str">
        <f t="shared" si="8"/>
        <v>T3</v>
      </c>
      <c r="M157" s="2" t="str">
        <f t="shared" si="6"/>
        <v>ago</v>
      </c>
      <c r="N157" s="2">
        <v>8</v>
      </c>
    </row>
    <row r="158" spans="2:14" x14ac:dyDescent="0.3">
      <c r="B158" s="2">
        <v>157</v>
      </c>
      <c r="C158" s="3">
        <v>45894</v>
      </c>
      <c r="D158" s="4" t="s">
        <v>19</v>
      </c>
      <c r="E158" s="4" t="s">
        <v>20</v>
      </c>
      <c r="F158" s="4" t="s">
        <v>21</v>
      </c>
      <c r="G158" s="4" t="s">
        <v>22</v>
      </c>
      <c r="H158" s="2">
        <v>88</v>
      </c>
      <c r="I158" s="2">
        <v>4</v>
      </c>
      <c r="J158" s="2">
        <v>1</v>
      </c>
      <c r="K158" s="2" t="str">
        <f t="shared" si="7"/>
        <v>2º Semestre</v>
      </c>
      <c r="L158" s="2" t="str">
        <f t="shared" si="8"/>
        <v>T3</v>
      </c>
      <c r="M158" s="2" t="str">
        <f t="shared" si="6"/>
        <v>ago</v>
      </c>
      <c r="N158" s="2">
        <v>8</v>
      </c>
    </row>
    <row r="159" spans="2:14" x14ac:dyDescent="0.3">
      <c r="B159" s="2">
        <v>158</v>
      </c>
      <c r="C159" s="3">
        <v>45895</v>
      </c>
      <c r="D159" s="4" t="s">
        <v>23</v>
      </c>
      <c r="E159" s="4" t="s">
        <v>24</v>
      </c>
      <c r="F159" s="4" t="s">
        <v>25</v>
      </c>
      <c r="G159" s="4" t="s">
        <v>22</v>
      </c>
      <c r="H159" s="2">
        <v>42</v>
      </c>
      <c r="I159" s="2">
        <v>3</v>
      </c>
      <c r="J159" s="2">
        <v>2</v>
      </c>
      <c r="K159" s="2" t="str">
        <f t="shared" si="7"/>
        <v>2º Semestre</v>
      </c>
      <c r="L159" s="2" t="str">
        <f t="shared" si="8"/>
        <v>T3</v>
      </c>
      <c r="M159" s="2" t="str">
        <f t="shared" si="6"/>
        <v>ago</v>
      </c>
      <c r="N159" s="2">
        <v>8</v>
      </c>
    </row>
    <row r="160" spans="2:14" x14ac:dyDescent="0.3">
      <c r="B160" s="2">
        <v>159</v>
      </c>
      <c r="C160" s="3">
        <v>45896</v>
      </c>
      <c r="D160" s="4" t="s">
        <v>30</v>
      </c>
      <c r="E160" s="4" t="s">
        <v>17</v>
      </c>
      <c r="F160" s="4" t="s">
        <v>50</v>
      </c>
      <c r="G160" s="4" t="s">
        <v>16</v>
      </c>
      <c r="H160" s="2">
        <v>20</v>
      </c>
      <c r="I160" s="2">
        <v>5</v>
      </c>
      <c r="J160" s="2">
        <v>2</v>
      </c>
      <c r="K160" s="2" t="str">
        <f t="shared" si="7"/>
        <v>2º Semestre</v>
      </c>
      <c r="L160" s="2" t="str">
        <f t="shared" si="8"/>
        <v>T3</v>
      </c>
      <c r="M160" s="2" t="str">
        <f t="shared" si="6"/>
        <v>ago</v>
      </c>
      <c r="N160" s="2">
        <v>8</v>
      </c>
    </row>
    <row r="161" spans="2:14" x14ac:dyDescent="0.3">
      <c r="B161" s="2">
        <v>160</v>
      </c>
      <c r="C161" s="3">
        <v>45898</v>
      </c>
      <c r="D161" s="4" t="s">
        <v>13</v>
      </c>
      <c r="E161" s="4" t="s">
        <v>37</v>
      </c>
      <c r="F161" s="4" t="s">
        <v>38</v>
      </c>
      <c r="G161" s="4" t="s">
        <v>22</v>
      </c>
      <c r="H161" s="2">
        <v>110</v>
      </c>
      <c r="I161" s="2">
        <v>2</v>
      </c>
      <c r="J161" s="2">
        <v>1</v>
      </c>
      <c r="K161" s="2" t="str">
        <f t="shared" si="7"/>
        <v>2º Semestre</v>
      </c>
      <c r="L161" s="2" t="str">
        <f t="shared" si="8"/>
        <v>T3</v>
      </c>
      <c r="M161" s="2" t="str">
        <f t="shared" si="6"/>
        <v>ago</v>
      </c>
      <c r="N161" s="2">
        <v>8</v>
      </c>
    </row>
    <row r="162" spans="2:14" x14ac:dyDescent="0.3">
      <c r="B162" s="2">
        <v>161</v>
      </c>
      <c r="C162" s="3">
        <v>45901</v>
      </c>
      <c r="D162" s="4" t="s">
        <v>13</v>
      </c>
      <c r="E162" s="4" t="s">
        <v>14</v>
      </c>
      <c r="F162" s="4" t="s">
        <v>15</v>
      </c>
      <c r="G162" s="4" t="s">
        <v>16</v>
      </c>
      <c r="H162" s="2">
        <v>120</v>
      </c>
      <c r="I162" s="2">
        <v>2</v>
      </c>
      <c r="J162" s="2">
        <v>1</v>
      </c>
      <c r="K162" s="2" t="str">
        <f t="shared" si="7"/>
        <v>2º Semestre</v>
      </c>
      <c r="L162" s="2" t="str">
        <f t="shared" si="8"/>
        <v>T3</v>
      </c>
      <c r="M162" s="2" t="str">
        <f t="shared" si="6"/>
        <v>set</v>
      </c>
      <c r="N162" s="2">
        <v>9</v>
      </c>
    </row>
    <row r="163" spans="2:14" x14ac:dyDescent="0.3">
      <c r="B163" s="2">
        <v>162</v>
      </c>
      <c r="C163" s="3">
        <v>45902</v>
      </c>
      <c r="D163" s="4" t="s">
        <v>19</v>
      </c>
      <c r="E163" s="4" t="s">
        <v>20</v>
      </c>
      <c r="F163" s="4" t="s">
        <v>21</v>
      </c>
      <c r="G163" s="4" t="s">
        <v>22</v>
      </c>
      <c r="H163" s="2">
        <v>83</v>
      </c>
      <c r="I163" s="2">
        <v>4</v>
      </c>
      <c r="J163" s="2">
        <v>1</v>
      </c>
      <c r="K163" s="2" t="str">
        <f t="shared" si="7"/>
        <v>2º Semestre</v>
      </c>
      <c r="L163" s="2" t="str">
        <f t="shared" si="8"/>
        <v>T3</v>
      </c>
      <c r="M163" s="2" t="str">
        <f t="shared" si="6"/>
        <v>set</v>
      </c>
      <c r="N163" s="2">
        <v>9</v>
      </c>
    </row>
    <row r="164" spans="2:14" x14ac:dyDescent="0.3">
      <c r="B164" s="2">
        <v>163</v>
      </c>
      <c r="C164" s="3">
        <v>45903</v>
      </c>
      <c r="D164" s="4" t="s">
        <v>23</v>
      </c>
      <c r="E164" s="4" t="s">
        <v>24</v>
      </c>
      <c r="F164" s="4" t="s">
        <v>25</v>
      </c>
      <c r="G164" s="4" t="s">
        <v>22</v>
      </c>
      <c r="H164" s="2">
        <v>45</v>
      </c>
      <c r="I164" s="2">
        <v>3</v>
      </c>
      <c r="J164" s="2">
        <v>2</v>
      </c>
      <c r="K164" s="2" t="str">
        <f t="shared" si="7"/>
        <v>2º Semestre</v>
      </c>
      <c r="L164" s="2" t="str">
        <f t="shared" si="8"/>
        <v>T3</v>
      </c>
      <c r="M164" s="2" t="str">
        <f t="shared" si="6"/>
        <v>set</v>
      </c>
      <c r="N164" s="2">
        <v>9</v>
      </c>
    </row>
    <row r="165" spans="2:14" x14ac:dyDescent="0.3">
      <c r="B165" s="2">
        <v>164</v>
      </c>
      <c r="C165" s="3">
        <v>45904</v>
      </c>
      <c r="D165" s="4" t="s">
        <v>26</v>
      </c>
      <c r="E165" s="4" t="s">
        <v>27</v>
      </c>
      <c r="F165" s="4" t="s">
        <v>28</v>
      </c>
      <c r="G165" s="4" t="s">
        <v>16</v>
      </c>
      <c r="H165" s="2">
        <v>20</v>
      </c>
      <c r="I165" s="2">
        <v>1</v>
      </c>
      <c r="J165" s="2">
        <v>1</v>
      </c>
      <c r="K165" s="2" t="str">
        <f t="shared" si="7"/>
        <v>2º Semestre</v>
      </c>
      <c r="L165" s="2" t="str">
        <f t="shared" si="8"/>
        <v>T3</v>
      </c>
      <c r="M165" s="2" t="str">
        <f t="shared" si="6"/>
        <v>set</v>
      </c>
      <c r="N165" s="2">
        <v>9</v>
      </c>
    </row>
    <row r="166" spans="2:14" x14ac:dyDescent="0.3">
      <c r="B166" s="2">
        <v>165</v>
      </c>
      <c r="C166" s="3">
        <v>45905</v>
      </c>
      <c r="D166" s="4" t="s">
        <v>30</v>
      </c>
      <c r="E166" s="4" t="s">
        <v>31</v>
      </c>
      <c r="F166" s="4" t="s">
        <v>32</v>
      </c>
      <c r="G166" s="4" t="s">
        <v>33</v>
      </c>
      <c r="H166" s="2">
        <v>15</v>
      </c>
      <c r="I166" s="2">
        <v>8</v>
      </c>
      <c r="J166" s="2">
        <v>2</v>
      </c>
      <c r="K166" s="2" t="str">
        <f t="shared" si="7"/>
        <v>2º Semestre</v>
      </c>
      <c r="L166" s="2" t="str">
        <f t="shared" si="8"/>
        <v>T3</v>
      </c>
      <c r="M166" s="2" t="str">
        <f t="shared" si="6"/>
        <v>set</v>
      </c>
      <c r="N166" s="2">
        <v>9</v>
      </c>
    </row>
    <row r="167" spans="2:14" x14ac:dyDescent="0.3">
      <c r="B167" s="2">
        <v>166</v>
      </c>
      <c r="C167" s="3">
        <v>45908</v>
      </c>
      <c r="D167" s="4" t="s">
        <v>13</v>
      </c>
      <c r="E167" s="4" t="s">
        <v>17</v>
      </c>
      <c r="F167" s="4" t="s">
        <v>18</v>
      </c>
      <c r="G167" s="4" t="s">
        <v>16</v>
      </c>
      <c r="H167" s="2">
        <v>109</v>
      </c>
      <c r="I167" s="2">
        <v>2</v>
      </c>
      <c r="J167" s="2">
        <v>1</v>
      </c>
      <c r="K167" s="2" t="str">
        <f t="shared" si="7"/>
        <v>2º Semestre</v>
      </c>
      <c r="L167" s="2" t="str">
        <f t="shared" si="8"/>
        <v>T3</v>
      </c>
      <c r="M167" s="2" t="str">
        <f t="shared" si="6"/>
        <v>set</v>
      </c>
      <c r="N167" s="2">
        <v>9</v>
      </c>
    </row>
    <row r="168" spans="2:14" x14ac:dyDescent="0.3">
      <c r="B168" s="2">
        <v>167</v>
      </c>
      <c r="C168" s="3">
        <v>45909</v>
      </c>
      <c r="D168" s="4" t="s">
        <v>13</v>
      </c>
      <c r="E168" s="4" t="s">
        <v>43</v>
      </c>
      <c r="F168" s="4" t="s">
        <v>44</v>
      </c>
      <c r="G168" s="4" t="s">
        <v>22</v>
      </c>
      <c r="H168" s="2">
        <v>109</v>
      </c>
      <c r="I168" s="2">
        <v>3</v>
      </c>
      <c r="J168" s="2">
        <v>2</v>
      </c>
      <c r="K168" s="2" t="str">
        <f t="shared" si="7"/>
        <v>2º Semestre</v>
      </c>
      <c r="L168" s="2" t="str">
        <f t="shared" si="8"/>
        <v>T3</v>
      </c>
      <c r="M168" s="2" t="str">
        <f t="shared" si="6"/>
        <v>set</v>
      </c>
      <c r="N168" s="2">
        <v>9</v>
      </c>
    </row>
    <row r="169" spans="2:14" x14ac:dyDescent="0.3">
      <c r="B169" s="2">
        <v>168</v>
      </c>
      <c r="C169" s="3">
        <v>45910</v>
      </c>
      <c r="D169" s="4" t="s">
        <v>26</v>
      </c>
      <c r="E169" s="4" t="s">
        <v>14</v>
      </c>
      <c r="F169" s="4" t="s">
        <v>29</v>
      </c>
      <c r="G169" s="4" t="s">
        <v>16</v>
      </c>
      <c r="H169" s="2">
        <v>20</v>
      </c>
      <c r="I169" s="2">
        <v>2</v>
      </c>
      <c r="J169" s="2">
        <v>1</v>
      </c>
      <c r="K169" s="2" t="str">
        <f t="shared" si="7"/>
        <v>2º Semestre</v>
      </c>
      <c r="L169" s="2" t="str">
        <f t="shared" si="8"/>
        <v>T3</v>
      </c>
      <c r="M169" s="2" t="str">
        <f t="shared" si="6"/>
        <v>set</v>
      </c>
      <c r="N169" s="2">
        <v>9</v>
      </c>
    </row>
    <row r="170" spans="2:14" x14ac:dyDescent="0.3">
      <c r="B170" s="2">
        <v>169</v>
      </c>
      <c r="C170" s="3">
        <v>45911</v>
      </c>
      <c r="D170" s="4" t="s">
        <v>23</v>
      </c>
      <c r="E170" s="4" t="s">
        <v>20</v>
      </c>
      <c r="F170" s="4" t="s">
        <v>41</v>
      </c>
      <c r="G170" s="4" t="s">
        <v>33</v>
      </c>
      <c r="H170" s="2">
        <v>42</v>
      </c>
      <c r="I170" s="2">
        <v>4</v>
      </c>
      <c r="J170" s="2">
        <v>1</v>
      </c>
      <c r="K170" s="2" t="str">
        <f t="shared" si="7"/>
        <v>2º Semestre</v>
      </c>
      <c r="L170" s="2" t="str">
        <f t="shared" si="8"/>
        <v>T3</v>
      </c>
      <c r="M170" s="2" t="str">
        <f t="shared" si="6"/>
        <v>set</v>
      </c>
      <c r="N170" s="2">
        <v>9</v>
      </c>
    </row>
    <row r="171" spans="2:14" x14ac:dyDescent="0.3">
      <c r="B171" s="2">
        <v>170</v>
      </c>
      <c r="C171" s="3">
        <v>45912</v>
      </c>
      <c r="D171" s="4" t="s">
        <v>30</v>
      </c>
      <c r="E171" s="4" t="s">
        <v>17</v>
      </c>
      <c r="F171" s="4" t="s">
        <v>50</v>
      </c>
      <c r="G171" s="4" t="s">
        <v>16</v>
      </c>
      <c r="H171" s="2">
        <v>15</v>
      </c>
      <c r="I171" s="2">
        <v>5</v>
      </c>
      <c r="J171" s="2">
        <v>5</v>
      </c>
      <c r="K171" s="2" t="str">
        <f t="shared" si="7"/>
        <v>2º Semestre</v>
      </c>
      <c r="L171" s="2" t="str">
        <f t="shared" si="8"/>
        <v>T3</v>
      </c>
      <c r="M171" s="2" t="str">
        <f t="shared" si="6"/>
        <v>set</v>
      </c>
      <c r="N171" s="2">
        <v>9</v>
      </c>
    </row>
    <row r="172" spans="2:14" x14ac:dyDescent="0.3">
      <c r="B172" s="2">
        <v>171</v>
      </c>
      <c r="C172" s="3">
        <v>45915</v>
      </c>
      <c r="D172" s="4" t="s">
        <v>19</v>
      </c>
      <c r="E172" s="4" t="s">
        <v>24</v>
      </c>
      <c r="F172" s="4" t="s">
        <v>46</v>
      </c>
      <c r="G172" s="4" t="s">
        <v>22</v>
      </c>
      <c r="H172" s="2">
        <v>84</v>
      </c>
      <c r="I172" s="2">
        <v>3</v>
      </c>
      <c r="J172" s="2">
        <v>2</v>
      </c>
      <c r="K172" s="2" t="str">
        <f t="shared" si="7"/>
        <v>2º Semestre</v>
      </c>
      <c r="L172" s="2" t="str">
        <f t="shared" si="8"/>
        <v>T3</v>
      </c>
      <c r="M172" s="2" t="str">
        <f t="shared" si="6"/>
        <v>set</v>
      </c>
      <c r="N172" s="2">
        <v>9</v>
      </c>
    </row>
    <row r="173" spans="2:14" x14ac:dyDescent="0.3">
      <c r="B173" s="2">
        <v>172</v>
      </c>
      <c r="C173" s="3">
        <v>45916</v>
      </c>
      <c r="D173" s="4" t="s">
        <v>13</v>
      </c>
      <c r="E173" s="4" t="s">
        <v>37</v>
      </c>
      <c r="F173" s="4" t="s">
        <v>38</v>
      </c>
      <c r="G173" s="4" t="s">
        <v>22</v>
      </c>
      <c r="H173" s="2">
        <v>110</v>
      </c>
      <c r="I173" s="2">
        <v>2</v>
      </c>
      <c r="J173" s="2">
        <v>1</v>
      </c>
      <c r="K173" s="2" t="str">
        <f t="shared" si="7"/>
        <v>2º Semestre</v>
      </c>
      <c r="L173" s="2" t="str">
        <f t="shared" si="8"/>
        <v>T3</v>
      </c>
      <c r="M173" s="2" t="str">
        <f t="shared" si="6"/>
        <v>set</v>
      </c>
      <c r="N173" s="2">
        <v>9</v>
      </c>
    </row>
    <row r="174" spans="2:14" x14ac:dyDescent="0.3">
      <c r="B174" s="2">
        <v>173</v>
      </c>
      <c r="C174" s="3">
        <v>45917</v>
      </c>
      <c r="D174" s="4" t="s">
        <v>30</v>
      </c>
      <c r="E174" s="4" t="s">
        <v>31</v>
      </c>
      <c r="F174" s="4" t="s">
        <v>32</v>
      </c>
      <c r="G174" s="4" t="s">
        <v>33</v>
      </c>
      <c r="H174" s="2">
        <v>15</v>
      </c>
      <c r="I174" s="2">
        <v>7</v>
      </c>
      <c r="J174" s="2">
        <v>0</v>
      </c>
      <c r="K174" s="2" t="str">
        <f t="shared" si="7"/>
        <v>2º Semestre</v>
      </c>
      <c r="L174" s="2" t="str">
        <f t="shared" si="8"/>
        <v>T3</v>
      </c>
      <c r="M174" s="2" t="str">
        <f t="shared" si="6"/>
        <v>set</v>
      </c>
      <c r="N174" s="2">
        <v>9</v>
      </c>
    </row>
    <row r="175" spans="2:14" x14ac:dyDescent="0.3">
      <c r="B175" s="2">
        <v>174</v>
      </c>
      <c r="C175" s="3">
        <v>45918</v>
      </c>
      <c r="D175" s="4" t="s">
        <v>13</v>
      </c>
      <c r="E175" s="4" t="s">
        <v>14</v>
      </c>
      <c r="F175" s="4" t="s">
        <v>15</v>
      </c>
      <c r="G175" s="4" t="s">
        <v>16</v>
      </c>
      <c r="H175" s="2">
        <v>110</v>
      </c>
      <c r="I175" s="2">
        <v>2</v>
      </c>
      <c r="J175" s="2">
        <v>1</v>
      </c>
      <c r="K175" s="2" t="str">
        <f t="shared" si="7"/>
        <v>2º Semestre</v>
      </c>
      <c r="L175" s="2" t="str">
        <f t="shared" si="8"/>
        <v>T3</v>
      </c>
      <c r="M175" s="2" t="str">
        <f t="shared" si="6"/>
        <v>set</v>
      </c>
      <c r="N175" s="2">
        <v>9</v>
      </c>
    </row>
    <row r="176" spans="2:14" x14ac:dyDescent="0.3">
      <c r="B176" s="2">
        <v>175</v>
      </c>
      <c r="C176" s="3">
        <v>45919</v>
      </c>
      <c r="D176" s="4" t="s">
        <v>26</v>
      </c>
      <c r="E176" s="4" t="s">
        <v>27</v>
      </c>
      <c r="F176" s="4" t="s">
        <v>39</v>
      </c>
      <c r="G176" s="4" t="s">
        <v>16</v>
      </c>
      <c r="H176" s="2">
        <v>26</v>
      </c>
      <c r="I176" s="2">
        <v>1</v>
      </c>
      <c r="J176" s="2">
        <v>1</v>
      </c>
      <c r="K176" s="2" t="str">
        <f t="shared" si="7"/>
        <v>2º Semestre</v>
      </c>
      <c r="L176" s="2" t="str">
        <f t="shared" si="8"/>
        <v>T3</v>
      </c>
      <c r="M176" s="2" t="str">
        <f t="shared" si="6"/>
        <v>set</v>
      </c>
      <c r="N176" s="2">
        <v>9</v>
      </c>
    </row>
    <row r="177" spans="2:14" x14ac:dyDescent="0.3">
      <c r="B177" s="2">
        <v>176</v>
      </c>
      <c r="C177" s="3">
        <v>45922</v>
      </c>
      <c r="D177" s="4" t="s">
        <v>13</v>
      </c>
      <c r="E177" s="4" t="s">
        <v>34</v>
      </c>
      <c r="F177" s="4" t="s">
        <v>35</v>
      </c>
      <c r="G177" s="4" t="s">
        <v>36</v>
      </c>
      <c r="H177" s="2">
        <v>109</v>
      </c>
      <c r="I177" s="2">
        <v>1</v>
      </c>
      <c r="J177" s="2">
        <v>1</v>
      </c>
      <c r="K177" s="2" t="str">
        <f t="shared" si="7"/>
        <v>2º Semestre</v>
      </c>
      <c r="L177" s="2" t="str">
        <f t="shared" si="8"/>
        <v>T3</v>
      </c>
      <c r="M177" s="2" t="str">
        <f t="shared" si="6"/>
        <v>set</v>
      </c>
      <c r="N177" s="2">
        <v>9</v>
      </c>
    </row>
    <row r="178" spans="2:14" x14ac:dyDescent="0.3">
      <c r="B178" s="2">
        <v>177</v>
      </c>
      <c r="C178" s="3">
        <v>45923</v>
      </c>
      <c r="D178" s="4" t="s">
        <v>19</v>
      </c>
      <c r="E178" s="4" t="s">
        <v>20</v>
      </c>
      <c r="F178" s="4" t="s">
        <v>21</v>
      </c>
      <c r="G178" s="4" t="s">
        <v>22</v>
      </c>
      <c r="H178" s="2">
        <v>84</v>
      </c>
      <c r="I178" s="2">
        <v>4</v>
      </c>
      <c r="J178" s="2">
        <v>1</v>
      </c>
      <c r="K178" s="2" t="str">
        <f t="shared" si="7"/>
        <v>2º Semestre</v>
      </c>
      <c r="L178" s="2" t="str">
        <f t="shared" si="8"/>
        <v>T3</v>
      </c>
      <c r="M178" s="2" t="str">
        <f t="shared" si="6"/>
        <v>set</v>
      </c>
      <c r="N178" s="2">
        <v>9</v>
      </c>
    </row>
    <row r="179" spans="2:14" x14ac:dyDescent="0.3">
      <c r="B179" s="2">
        <v>178</v>
      </c>
      <c r="C179" s="3">
        <v>45924</v>
      </c>
      <c r="D179" s="4" t="s">
        <v>23</v>
      </c>
      <c r="E179" s="4" t="s">
        <v>24</v>
      </c>
      <c r="F179" s="4" t="s">
        <v>25</v>
      </c>
      <c r="G179" s="4" t="s">
        <v>22</v>
      </c>
      <c r="H179" s="2">
        <v>42</v>
      </c>
      <c r="I179" s="2">
        <v>3</v>
      </c>
      <c r="J179" s="2">
        <v>2</v>
      </c>
      <c r="K179" s="2" t="str">
        <f t="shared" si="7"/>
        <v>2º Semestre</v>
      </c>
      <c r="L179" s="2" t="str">
        <f t="shared" si="8"/>
        <v>T3</v>
      </c>
      <c r="M179" s="2" t="str">
        <f t="shared" si="6"/>
        <v>set</v>
      </c>
      <c r="N179" s="2">
        <v>9</v>
      </c>
    </row>
    <row r="180" spans="2:14" x14ac:dyDescent="0.3">
      <c r="B180" s="2">
        <v>179</v>
      </c>
      <c r="C180" s="3">
        <v>45925</v>
      </c>
      <c r="D180" s="4" t="s">
        <v>30</v>
      </c>
      <c r="E180" s="4" t="s">
        <v>31</v>
      </c>
      <c r="F180" s="4" t="s">
        <v>32</v>
      </c>
      <c r="G180" s="4" t="s">
        <v>33</v>
      </c>
      <c r="H180" s="2">
        <v>15</v>
      </c>
      <c r="I180" s="2">
        <v>8</v>
      </c>
      <c r="J180" s="2">
        <v>4</v>
      </c>
      <c r="K180" s="2" t="str">
        <f t="shared" si="7"/>
        <v>2º Semestre</v>
      </c>
      <c r="L180" s="2" t="str">
        <f t="shared" si="8"/>
        <v>T3</v>
      </c>
      <c r="M180" s="2" t="str">
        <f t="shared" si="6"/>
        <v>set</v>
      </c>
      <c r="N180" s="2">
        <v>9</v>
      </c>
    </row>
    <row r="181" spans="2:14" x14ac:dyDescent="0.3">
      <c r="B181" s="2">
        <v>180</v>
      </c>
      <c r="C181" s="3">
        <v>45929</v>
      </c>
      <c r="D181" s="4" t="s">
        <v>13</v>
      </c>
      <c r="E181" s="4" t="s">
        <v>17</v>
      </c>
      <c r="F181" s="4" t="s">
        <v>18</v>
      </c>
      <c r="G181" s="4" t="s">
        <v>16</v>
      </c>
      <c r="H181" s="2">
        <v>109</v>
      </c>
      <c r="I181" s="2">
        <v>2</v>
      </c>
      <c r="J181" s="2">
        <v>1</v>
      </c>
      <c r="K181" s="2" t="str">
        <f t="shared" si="7"/>
        <v>2º Semestre</v>
      </c>
      <c r="L181" s="2" t="str">
        <f t="shared" si="8"/>
        <v>T3</v>
      </c>
      <c r="M181" s="2" t="str">
        <f t="shared" si="6"/>
        <v>set</v>
      </c>
      <c r="N181" s="2">
        <v>9</v>
      </c>
    </row>
    <row r="182" spans="2:14" x14ac:dyDescent="0.3">
      <c r="B182" s="2">
        <v>181</v>
      </c>
      <c r="C182" s="3">
        <v>45932</v>
      </c>
      <c r="D182" s="4" t="s">
        <v>13</v>
      </c>
      <c r="E182" s="4" t="s">
        <v>14</v>
      </c>
      <c r="F182" s="4" t="s">
        <v>15</v>
      </c>
      <c r="G182" s="4" t="s">
        <v>16</v>
      </c>
      <c r="H182" s="2">
        <v>120</v>
      </c>
      <c r="I182" s="2">
        <v>2</v>
      </c>
      <c r="J182" s="2">
        <v>1</v>
      </c>
      <c r="K182" s="2" t="str">
        <f t="shared" si="7"/>
        <v>2º Semestre</v>
      </c>
      <c r="L182" s="2" t="str">
        <f t="shared" si="8"/>
        <v>T4</v>
      </c>
      <c r="M182" s="2" t="str">
        <f t="shared" si="6"/>
        <v>out</v>
      </c>
      <c r="N182" s="2">
        <v>10</v>
      </c>
    </row>
    <row r="183" spans="2:14" x14ac:dyDescent="0.3">
      <c r="B183" s="2">
        <v>182</v>
      </c>
      <c r="C183" s="3">
        <v>45933</v>
      </c>
      <c r="D183" s="4" t="s">
        <v>19</v>
      </c>
      <c r="E183" s="4" t="s">
        <v>20</v>
      </c>
      <c r="F183" s="4" t="s">
        <v>21</v>
      </c>
      <c r="G183" s="4" t="s">
        <v>22</v>
      </c>
      <c r="H183" s="2">
        <v>87</v>
      </c>
      <c r="I183" s="2">
        <v>4</v>
      </c>
      <c r="J183" s="2">
        <v>1</v>
      </c>
      <c r="K183" s="2" t="str">
        <f t="shared" si="7"/>
        <v>2º Semestre</v>
      </c>
      <c r="L183" s="2" t="str">
        <f t="shared" si="8"/>
        <v>T4</v>
      </c>
      <c r="M183" s="2" t="str">
        <f t="shared" si="6"/>
        <v>out</v>
      </c>
      <c r="N183" s="2">
        <v>10</v>
      </c>
    </row>
    <row r="184" spans="2:14" x14ac:dyDescent="0.3">
      <c r="B184" s="2">
        <v>183</v>
      </c>
      <c r="C184" s="3">
        <v>45936</v>
      </c>
      <c r="D184" s="4" t="s">
        <v>23</v>
      </c>
      <c r="E184" s="4" t="s">
        <v>24</v>
      </c>
      <c r="F184" s="4" t="s">
        <v>25</v>
      </c>
      <c r="G184" s="4" t="s">
        <v>22</v>
      </c>
      <c r="H184" s="2">
        <v>42</v>
      </c>
      <c r="I184" s="2">
        <v>3</v>
      </c>
      <c r="J184" s="2">
        <v>2</v>
      </c>
      <c r="K184" s="2" t="str">
        <f t="shared" si="7"/>
        <v>2º Semestre</v>
      </c>
      <c r="L184" s="2" t="str">
        <f t="shared" si="8"/>
        <v>T4</v>
      </c>
      <c r="M184" s="2" t="str">
        <f t="shared" si="6"/>
        <v>out</v>
      </c>
      <c r="N184" s="2">
        <v>10</v>
      </c>
    </row>
    <row r="185" spans="2:14" x14ac:dyDescent="0.3">
      <c r="B185" s="2">
        <v>184</v>
      </c>
      <c r="C185" s="3">
        <v>45937</v>
      </c>
      <c r="D185" s="4" t="s">
        <v>26</v>
      </c>
      <c r="E185" s="4" t="s">
        <v>27</v>
      </c>
      <c r="F185" s="4" t="s">
        <v>28</v>
      </c>
      <c r="G185" s="4" t="s">
        <v>16</v>
      </c>
      <c r="H185" s="2">
        <v>26</v>
      </c>
      <c r="I185" s="2">
        <v>1</v>
      </c>
      <c r="J185" s="2">
        <v>1</v>
      </c>
      <c r="K185" s="2" t="str">
        <f t="shared" si="7"/>
        <v>2º Semestre</v>
      </c>
      <c r="L185" s="2" t="str">
        <f t="shared" si="8"/>
        <v>T4</v>
      </c>
      <c r="M185" s="2" t="str">
        <f t="shared" si="6"/>
        <v>out</v>
      </c>
      <c r="N185" s="2">
        <v>10</v>
      </c>
    </row>
    <row r="186" spans="2:14" x14ac:dyDescent="0.3">
      <c r="B186" s="2">
        <v>185</v>
      </c>
      <c r="C186" s="3">
        <v>45938</v>
      </c>
      <c r="D186" s="4" t="s">
        <v>30</v>
      </c>
      <c r="E186" s="4" t="s">
        <v>31</v>
      </c>
      <c r="F186" s="4" t="s">
        <v>32</v>
      </c>
      <c r="G186" s="4" t="s">
        <v>33</v>
      </c>
      <c r="H186" s="2">
        <v>15</v>
      </c>
      <c r="I186" s="2">
        <v>7</v>
      </c>
      <c r="J186" s="2">
        <v>0</v>
      </c>
      <c r="K186" s="2" t="str">
        <f t="shared" si="7"/>
        <v>2º Semestre</v>
      </c>
      <c r="L186" s="2" t="str">
        <f t="shared" si="8"/>
        <v>T4</v>
      </c>
      <c r="M186" s="2" t="str">
        <f t="shared" si="6"/>
        <v>out</v>
      </c>
      <c r="N186" s="2">
        <v>10</v>
      </c>
    </row>
    <row r="187" spans="2:14" x14ac:dyDescent="0.3">
      <c r="B187" s="2">
        <v>186</v>
      </c>
      <c r="C187" s="3">
        <v>45939</v>
      </c>
      <c r="D187" s="4" t="s">
        <v>13</v>
      </c>
      <c r="E187" s="4" t="s">
        <v>17</v>
      </c>
      <c r="F187" s="4" t="s">
        <v>18</v>
      </c>
      <c r="G187" s="4" t="s">
        <v>16</v>
      </c>
      <c r="H187" s="2">
        <v>120</v>
      </c>
      <c r="I187" s="2">
        <v>2</v>
      </c>
      <c r="J187" s="2">
        <v>1</v>
      </c>
      <c r="K187" s="2" t="str">
        <f t="shared" si="7"/>
        <v>2º Semestre</v>
      </c>
      <c r="L187" s="2" t="str">
        <f t="shared" si="8"/>
        <v>T4</v>
      </c>
      <c r="M187" s="2" t="str">
        <f t="shared" si="6"/>
        <v>out</v>
      </c>
      <c r="N187" s="2">
        <v>10</v>
      </c>
    </row>
    <row r="188" spans="2:14" x14ac:dyDescent="0.3">
      <c r="B188" s="2">
        <v>187</v>
      </c>
      <c r="C188" s="3">
        <v>45940</v>
      </c>
      <c r="D188" s="4" t="s">
        <v>13</v>
      </c>
      <c r="E188" s="4" t="s">
        <v>37</v>
      </c>
      <c r="F188" s="4" t="s">
        <v>38</v>
      </c>
      <c r="G188" s="4" t="s">
        <v>22</v>
      </c>
      <c r="H188" s="2">
        <v>120</v>
      </c>
      <c r="I188" s="2">
        <v>2</v>
      </c>
      <c r="J188" s="2">
        <v>1</v>
      </c>
      <c r="K188" s="2" t="str">
        <f t="shared" si="7"/>
        <v>2º Semestre</v>
      </c>
      <c r="L188" s="2" t="str">
        <f t="shared" si="8"/>
        <v>T4</v>
      </c>
      <c r="M188" s="2" t="str">
        <f t="shared" si="6"/>
        <v>out</v>
      </c>
      <c r="N188" s="2">
        <v>10</v>
      </c>
    </row>
    <row r="189" spans="2:14" x14ac:dyDescent="0.3">
      <c r="B189" s="2">
        <v>188</v>
      </c>
      <c r="C189" s="3">
        <v>45943</v>
      </c>
      <c r="D189" s="4" t="s">
        <v>26</v>
      </c>
      <c r="E189" s="4" t="s">
        <v>14</v>
      </c>
      <c r="F189" s="4" t="s">
        <v>29</v>
      </c>
      <c r="G189" s="4" t="s">
        <v>16</v>
      </c>
      <c r="H189" s="2">
        <v>20</v>
      </c>
      <c r="I189" s="2">
        <v>2</v>
      </c>
      <c r="J189" s="2">
        <v>1</v>
      </c>
      <c r="K189" s="2" t="str">
        <f t="shared" si="7"/>
        <v>2º Semestre</v>
      </c>
      <c r="L189" s="2" t="str">
        <f t="shared" si="8"/>
        <v>T4</v>
      </c>
      <c r="M189" s="2" t="str">
        <f t="shared" si="6"/>
        <v>out</v>
      </c>
      <c r="N189" s="2">
        <v>10</v>
      </c>
    </row>
    <row r="190" spans="2:14" x14ac:dyDescent="0.3">
      <c r="B190" s="2">
        <v>189</v>
      </c>
      <c r="C190" s="3">
        <v>45944</v>
      </c>
      <c r="D190" s="4" t="s">
        <v>23</v>
      </c>
      <c r="E190" s="4" t="s">
        <v>20</v>
      </c>
      <c r="F190" s="4" t="s">
        <v>41</v>
      </c>
      <c r="G190" s="4" t="s">
        <v>33</v>
      </c>
      <c r="H190" s="2">
        <v>42</v>
      </c>
      <c r="I190" s="2">
        <v>4</v>
      </c>
      <c r="J190" s="2">
        <v>1</v>
      </c>
      <c r="K190" s="2" t="str">
        <f t="shared" si="7"/>
        <v>2º Semestre</v>
      </c>
      <c r="L190" s="2" t="str">
        <f t="shared" si="8"/>
        <v>T4</v>
      </c>
      <c r="M190" s="2" t="str">
        <f t="shared" si="6"/>
        <v>out</v>
      </c>
      <c r="N190" s="2">
        <v>10</v>
      </c>
    </row>
    <row r="191" spans="2:14" x14ac:dyDescent="0.3">
      <c r="B191" s="2">
        <v>190</v>
      </c>
      <c r="C191" s="3">
        <v>45945</v>
      </c>
      <c r="D191" s="4" t="s">
        <v>13</v>
      </c>
      <c r="E191" s="4" t="s">
        <v>43</v>
      </c>
      <c r="F191" s="4" t="s">
        <v>44</v>
      </c>
      <c r="G191" s="4" t="s">
        <v>22</v>
      </c>
      <c r="H191" s="2">
        <v>120</v>
      </c>
      <c r="I191" s="2">
        <v>3</v>
      </c>
      <c r="J191" s="2">
        <v>2</v>
      </c>
      <c r="K191" s="2" t="str">
        <f t="shared" si="7"/>
        <v>2º Semestre</v>
      </c>
      <c r="L191" s="2" t="str">
        <f t="shared" si="8"/>
        <v>T4</v>
      </c>
      <c r="M191" s="2" t="str">
        <f t="shared" si="6"/>
        <v>out</v>
      </c>
      <c r="N191" s="2">
        <v>10</v>
      </c>
    </row>
    <row r="192" spans="2:14" x14ac:dyDescent="0.3">
      <c r="B192" s="2">
        <v>191</v>
      </c>
      <c r="C192" s="3">
        <v>45946</v>
      </c>
      <c r="D192" s="4" t="s">
        <v>19</v>
      </c>
      <c r="E192" s="4" t="s">
        <v>24</v>
      </c>
      <c r="F192" s="4" t="s">
        <v>46</v>
      </c>
      <c r="G192" s="4" t="s">
        <v>22</v>
      </c>
      <c r="H192" s="2">
        <v>86</v>
      </c>
      <c r="I192" s="2">
        <v>3</v>
      </c>
      <c r="J192" s="2">
        <v>2</v>
      </c>
      <c r="K192" s="2" t="str">
        <f t="shared" si="7"/>
        <v>2º Semestre</v>
      </c>
      <c r="L192" s="2" t="str">
        <f t="shared" si="8"/>
        <v>T4</v>
      </c>
      <c r="M192" s="2" t="str">
        <f t="shared" si="6"/>
        <v>out</v>
      </c>
      <c r="N192" s="2">
        <v>10</v>
      </c>
    </row>
    <row r="193" spans="2:14" x14ac:dyDescent="0.3">
      <c r="B193" s="2">
        <v>192</v>
      </c>
      <c r="C193" s="3">
        <v>45947</v>
      </c>
      <c r="D193" s="4" t="s">
        <v>30</v>
      </c>
      <c r="E193" s="4" t="s">
        <v>17</v>
      </c>
      <c r="F193" s="4" t="s">
        <v>50</v>
      </c>
      <c r="G193" s="4" t="s">
        <v>16</v>
      </c>
      <c r="H193" s="2">
        <v>15</v>
      </c>
      <c r="I193" s="2">
        <v>4</v>
      </c>
      <c r="J193" s="2">
        <v>2</v>
      </c>
      <c r="K193" s="2" t="str">
        <f t="shared" si="7"/>
        <v>2º Semestre</v>
      </c>
      <c r="L193" s="2" t="str">
        <f t="shared" si="8"/>
        <v>T4</v>
      </c>
      <c r="M193" s="2" t="str">
        <f t="shared" si="6"/>
        <v>out</v>
      </c>
      <c r="N193" s="2">
        <v>10</v>
      </c>
    </row>
    <row r="194" spans="2:14" x14ac:dyDescent="0.3">
      <c r="B194" s="2">
        <v>193</v>
      </c>
      <c r="C194" s="3">
        <v>45950</v>
      </c>
      <c r="D194" s="4" t="s">
        <v>13</v>
      </c>
      <c r="E194" s="4" t="s">
        <v>14</v>
      </c>
      <c r="F194" s="4" t="s">
        <v>15</v>
      </c>
      <c r="G194" s="4" t="s">
        <v>16</v>
      </c>
      <c r="H194" s="2">
        <v>100</v>
      </c>
      <c r="I194" s="2">
        <v>2</v>
      </c>
      <c r="J194" s="2">
        <v>1</v>
      </c>
      <c r="K194" s="2" t="str">
        <f t="shared" si="7"/>
        <v>2º Semestre</v>
      </c>
      <c r="L194" s="2" t="str">
        <f t="shared" si="8"/>
        <v>T4</v>
      </c>
      <c r="M194" s="2" t="str">
        <f t="shared" ref="M194:M241" si="9">TEXT(C194,"MMM")</f>
        <v>out</v>
      </c>
      <c r="N194" s="2">
        <v>10</v>
      </c>
    </row>
    <row r="195" spans="2:14" x14ac:dyDescent="0.3">
      <c r="B195" s="2">
        <v>194</v>
      </c>
      <c r="C195" s="3">
        <v>45951</v>
      </c>
      <c r="D195" s="4" t="s">
        <v>26</v>
      </c>
      <c r="E195" s="4" t="s">
        <v>27</v>
      </c>
      <c r="F195" s="4" t="s">
        <v>39</v>
      </c>
      <c r="G195" s="4" t="s">
        <v>16</v>
      </c>
      <c r="H195" s="2">
        <v>30</v>
      </c>
      <c r="I195" s="2">
        <v>1</v>
      </c>
      <c r="J195" s="2">
        <v>1</v>
      </c>
      <c r="K195" s="2" t="str">
        <f t="shared" ref="K195:K241" si="10">IF(MONTH(M195 &amp; " 1")&lt;=6, "1º Semestre", "2º Semestre")</f>
        <v>2º Semestre</v>
      </c>
      <c r="L195" s="2" t="str">
        <f t="shared" ref="L195" si="11">"T"&amp;ROUNDUP(VALUE(N195)/3,0)</f>
        <v>T4</v>
      </c>
      <c r="M195" s="2" t="str">
        <f t="shared" si="9"/>
        <v>out</v>
      </c>
      <c r="N195" s="2">
        <v>10</v>
      </c>
    </row>
    <row r="196" spans="2:14" x14ac:dyDescent="0.3">
      <c r="B196" s="2">
        <v>195</v>
      </c>
      <c r="C196" s="3">
        <v>45952</v>
      </c>
      <c r="D196" s="4" t="s">
        <v>19</v>
      </c>
      <c r="E196" s="4" t="s">
        <v>20</v>
      </c>
      <c r="F196" s="4" t="s">
        <v>21</v>
      </c>
      <c r="G196" s="4" t="s">
        <v>22</v>
      </c>
      <c r="H196" s="2">
        <v>85</v>
      </c>
      <c r="I196" s="2">
        <v>4</v>
      </c>
      <c r="J196" s="2">
        <v>1</v>
      </c>
      <c r="K196" s="2" t="str">
        <f t="shared" si="10"/>
        <v>2º Semestre</v>
      </c>
      <c r="L196" s="2" t="str">
        <f>"T"&amp;ROUNDUP(VALUE(N196)/3,0)</f>
        <v>T4</v>
      </c>
      <c r="M196" s="2" t="str">
        <f t="shared" si="9"/>
        <v>out</v>
      </c>
      <c r="N196" s="2">
        <v>10</v>
      </c>
    </row>
    <row r="197" spans="2:14" x14ac:dyDescent="0.3">
      <c r="B197" s="2">
        <v>196</v>
      </c>
      <c r="C197" s="3">
        <v>45953</v>
      </c>
      <c r="D197" s="4" t="s">
        <v>30</v>
      </c>
      <c r="E197" s="4" t="s">
        <v>31</v>
      </c>
      <c r="F197" s="4" t="s">
        <v>32</v>
      </c>
      <c r="G197" s="4" t="s">
        <v>33</v>
      </c>
      <c r="H197" s="2">
        <v>15</v>
      </c>
      <c r="I197" s="2">
        <v>7</v>
      </c>
      <c r="J197" s="2">
        <v>4</v>
      </c>
      <c r="K197" s="2" t="str">
        <f t="shared" si="10"/>
        <v>2º Semestre</v>
      </c>
      <c r="L197" s="2" t="str">
        <f t="shared" ref="L197:L241" si="12">"T"&amp;ROUNDUP(VALUE(N197)/3,0)</f>
        <v>T4</v>
      </c>
      <c r="M197" s="2" t="str">
        <f t="shared" si="9"/>
        <v>out</v>
      </c>
      <c r="N197" s="2">
        <v>10</v>
      </c>
    </row>
    <row r="198" spans="2:14" x14ac:dyDescent="0.3">
      <c r="B198" s="2">
        <v>197</v>
      </c>
      <c r="C198" s="3">
        <v>45954</v>
      </c>
      <c r="D198" s="4" t="s">
        <v>13</v>
      </c>
      <c r="E198" s="4" t="s">
        <v>34</v>
      </c>
      <c r="F198" s="4" t="s">
        <v>35</v>
      </c>
      <c r="G198" s="4" t="s">
        <v>36</v>
      </c>
      <c r="H198" s="2">
        <v>110</v>
      </c>
      <c r="I198" s="2">
        <v>1</v>
      </c>
      <c r="J198" s="2">
        <v>1</v>
      </c>
      <c r="K198" s="2" t="str">
        <f t="shared" si="10"/>
        <v>2º Semestre</v>
      </c>
      <c r="L198" s="2" t="str">
        <f t="shared" si="12"/>
        <v>T4</v>
      </c>
      <c r="M198" s="2" t="str">
        <f t="shared" si="9"/>
        <v>out</v>
      </c>
      <c r="N198" s="2">
        <v>10</v>
      </c>
    </row>
    <row r="199" spans="2:14" x14ac:dyDescent="0.3">
      <c r="B199" s="2">
        <v>198</v>
      </c>
      <c r="C199" s="3">
        <v>45957</v>
      </c>
      <c r="D199" s="4" t="s">
        <v>23</v>
      </c>
      <c r="E199" s="4" t="s">
        <v>24</v>
      </c>
      <c r="F199" s="4" t="s">
        <v>25</v>
      </c>
      <c r="G199" s="4" t="s">
        <v>22</v>
      </c>
      <c r="H199" s="2">
        <v>30</v>
      </c>
      <c r="I199" s="2">
        <v>3</v>
      </c>
      <c r="J199" s="2">
        <v>2</v>
      </c>
      <c r="K199" s="2" t="str">
        <f t="shared" si="10"/>
        <v>2º Semestre</v>
      </c>
      <c r="L199" s="2" t="str">
        <f t="shared" si="12"/>
        <v>T4</v>
      </c>
      <c r="M199" s="2" t="str">
        <f t="shared" si="9"/>
        <v>out</v>
      </c>
      <c r="N199" s="2">
        <v>10</v>
      </c>
    </row>
    <row r="200" spans="2:14" x14ac:dyDescent="0.3">
      <c r="B200" s="2">
        <v>199</v>
      </c>
      <c r="C200" s="3">
        <v>45958</v>
      </c>
      <c r="D200" s="4" t="s">
        <v>13</v>
      </c>
      <c r="E200" s="4" t="s">
        <v>17</v>
      </c>
      <c r="F200" s="4" t="s">
        <v>18</v>
      </c>
      <c r="G200" s="4" t="s">
        <v>16</v>
      </c>
      <c r="H200" s="2">
        <v>110</v>
      </c>
      <c r="I200" s="2">
        <v>2</v>
      </c>
      <c r="J200" s="2">
        <v>1</v>
      </c>
      <c r="K200" s="2" t="str">
        <f t="shared" si="10"/>
        <v>2º Semestre</v>
      </c>
      <c r="L200" s="2" t="str">
        <f t="shared" si="12"/>
        <v>T4</v>
      </c>
      <c r="M200" s="2" t="str">
        <f t="shared" si="9"/>
        <v>out</v>
      </c>
      <c r="N200" s="2">
        <v>10</v>
      </c>
    </row>
    <row r="201" spans="2:14" x14ac:dyDescent="0.3">
      <c r="B201" s="2">
        <v>200</v>
      </c>
      <c r="C201" s="3">
        <v>45960</v>
      </c>
      <c r="D201" s="4" t="s">
        <v>26</v>
      </c>
      <c r="E201" s="4" t="s">
        <v>14</v>
      </c>
      <c r="F201" s="4" t="s">
        <v>29</v>
      </c>
      <c r="G201" s="4" t="s">
        <v>16</v>
      </c>
      <c r="H201" s="2">
        <v>30</v>
      </c>
      <c r="I201" s="2">
        <v>2</v>
      </c>
      <c r="J201" s="2">
        <v>1</v>
      </c>
      <c r="K201" s="2" t="str">
        <f t="shared" si="10"/>
        <v>2º Semestre</v>
      </c>
      <c r="L201" s="2" t="str">
        <f t="shared" si="12"/>
        <v>T4</v>
      </c>
      <c r="M201" s="2" t="str">
        <f t="shared" si="9"/>
        <v>out</v>
      </c>
      <c r="N201" s="2">
        <v>10</v>
      </c>
    </row>
    <row r="202" spans="2:14" x14ac:dyDescent="0.3">
      <c r="B202" s="2">
        <v>201</v>
      </c>
      <c r="C202" s="3">
        <v>45964</v>
      </c>
      <c r="D202" s="4" t="s">
        <v>13</v>
      </c>
      <c r="E202" s="4" t="s">
        <v>14</v>
      </c>
      <c r="F202" s="4" t="s">
        <v>15</v>
      </c>
      <c r="G202" s="4" t="s">
        <v>16</v>
      </c>
      <c r="H202" s="2">
        <v>110</v>
      </c>
      <c r="I202" s="2">
        <v>1</v>
      </c>
      <c r="J202" s="2">
        <v>1</v>
      </c>
      <c r="K202" s="2" t="str">
        <f t="shared" si="10"/>
        <v>2º Semestre</v>
      </c>
      <c r="L202" s="2" t="str">
        <f t="shared" si="12"/>
        <v>T4</v>
      </c>
      <c r="M202" s="2" t="str">
        <f t="shared" si="9"/>
        <v>nov</v>
      </c>
      <c r="N202" s="2">
        <v>11</v>
      </c>
    </row>
    <row r="203" spans="2:14" x14ac:dyDescent="0.3">
      <c r="B203" s="2">
        <v>202</v>
      </c>
      <c r="C203" s="3">
        <v>45965</v>
      </c>
      <c r="D203" s="4" t="s">
        <v>19</v>
      </c>
      <c r="E203" s="4" t="s">
        <v>20</v>
      </c>
      <c r="F203" s="4" t="s">
        <v>21</v>
      </c>
      <c r="G203" s="4" t="s">
        <v>22</v>
      </c>
      <c r="H203" s="2">
        <v>85</v>
      </c>
      <c r="I203" s="2">
        <v>3</v>
      </c>
      <c r="J203" s="2">
        <v>1</v>
      </c>
      <c r="K203" s="2" t="str">
        <f t="shared" si="10"/>
        <v>2º Semestre</v>
      </c>
      <c r="L203" s="2" t="str">
        <f t="shared" si="12"/>
        <v>T4</v>
      </c>
      <c r="M203" s="2" t="str">
        <f t="shared" si="9"/>
        <v>nov</v>
      </c>
      <c r="N203" s="2">
        <v>11</v>
      </c>
    </row>
    <row r="204" spans="2:14" x14ac:dyDescent="0.3">
      <c r="B204" s="2">
        <v>203</v>
      </c>
      <c r="C204" s="3">
        <v>45966</v>
      </c>
      <c r="D204" s="4" t="s">
        <v>23</v>
      </c>
      <c r="E204" s="4" t="s">
        <v>24</v>
      </c>
      <c r="F204" s="4" t="s">
        <v>25</v>
      </c>
      <c r="G204" s="4" t="s">
        <v>22</v>
      </c>
      <c r="H204" s="2">
        <v>42</v>
      </c>
      <c r="I204" s="2">
        <v>3</v>
      </c>
      <c r="J204" s="2">
        <v>2</v>
      </c>
      <c r="K204" s="2" t="str">
        <f t="shared" si="10"/>
        <v>2º Semestre</v>
      </c>
      <c r="L204" s="2" t="str">
        <f t="shared" si="12"/>
        <v>T4</v>
      </c>
      <c r="M204" s="2" t="str">
        <f t="shared" si="9"/>
        <v>nov</v>
      </c>
      <c r="N204" s="2">
        <v>11</v>
      </c>
    </row>
    <row r="205" spans="2:14" x14ac:dyDescent="0.3">
      <c r="B205" s="2">
        <v>204</v>
      </c>
      <c r="C205" s="3">
        <v>45967</v>
      </c>
      <c r="D205" s="4" t="s">
        <v>26</v>
      </c>
      <c r="E205" s="4" t="s">
        <v>27</v>
      </c>
      <c r="F205" s="4" t="s">
        <v>28</v>
      </c>
      <c r="G205" s="4" t="s">
        <v>16</v>
      </c>
      <c r="H205" s="2">
        <v>26</v>
      </c>
      <c r="I205" s="2">
        <v>1</v>
      </c>
      <c r="J205" s="2">
        <v>1</v>
      </c>
      <c r="K205" s="2" t="str">
        <f t="shared" si="10"/>
        <v>2º Semestre</v>
      </c>
      <c r="L205" s="2" t="str">
        <f t="shared" si="12"/>
        <v>T4</v>
      </c>
      <c r="M205" s="2" t="str">
        <f t="shared" si="9"/>
        <v>nov</v>
      </c>
      <c r="N205" s="2">
        <v>11</v>
      </c>
    </row>
    <row r="206" spans="2:14" x14ac:dyDescent="0.3">
      <c r="B206" s="2">
        <v>205</v>
      </c>
      <c r="C206" s="3">
        <v>45968</v>
      </c>
      <c r="D206" s="4" t="s">
        <v>30</v>
      </c>
      <c r="E206" s="4" t="s">
        <v>31</v>
      </c>
      <c r="F206" s="4" t="s">
        <v>32</v>
      </c>
      <c r="G206" s="4" t="s">
        <v>33</v>
      </c>
      <c r="H206" s="2">
        <v>10</v>
      </c>
      <c r="I206" s="2">
        <v>6</v>
      </c>
      <c r="J206" s="2">
        <v>2</v>
      </c>
      <c r="K206" s="2" t="str">
        <f t="shared" si="10"/>
        <v>2º Semestre</v>
      </c>
      <c r="L206" s="2" t="str">
        <f t="shared" si="12"/>
        <v>T4</v>
      </c>
      <c r="M206" s="2" t="str">
        <f t="shared" si="9"/>
        <v>nov</v>
      </c>
      <c r="N206" s="2">
        <v>11</v>
      </c>
    </row>
    <row r="207" spans="2:14" x14ac:dyDescent="0.3">
      <c r="B207" s="2">
        <v>206</v>
      </c>
      <c r="C207" s="3">
        <v>45971</v>
      </c>
      <c r="D207" s="4" t="s">
        <v>13</v>
      </c>
      <c r="E207" s="4" t="s">
        <v>17</v>
      </c>
      <c r="F207" s="4" t="s">
        <v>18</v>
      </c>
      <c r="G207" s="4" t="s">
        <v>16</v>
      </c>
      <c r="H207" s="2">
        <v>109</v>
      </c>
      <c r="I207" s="2">
        <v>2</v>
      </c>
      <c r="J207" s="2">
        <v>1</v>
      </c>
      <c r="K207" s="2" t="str">
        <f t="shared" si="10"/>
        <v>2º Semestre</v>
      </c>
      <c r="L207" s="2" t="str">
        <f t="shared" si="12"/>
        <v>T4</v>
      </c>
      <c r="M207" s="2" t="str">
        <f t="shared" si="9"/>
        <v>nov</v>
      </c>
      <c r="N207" s="2">
        <v>11</v>
      </c>
    </row>
    <row r="208" spans="2:14" x14ac:dyDescent="0.3">
      <c r="B208" s="2">
        <v>207</v>
      </c>
      <c r="C208" s="3">
        <v>45972</v>
      </c>
      <c r="D208" s="4" t="s">
        <v>13</v>
      </c>
      <c r="E208" s="4" t="s">
        <v>37</v>
      </c>
      <c r="F208" s="4" t="s">
        <v>38</v>
      </c>
      <c r="G208" s="4" t="s">
        <v>22</v>
      </c>
      <c r="H208" s="2">
        <v>109</v>
      </c>
      <c r="I208" s="2">
        <v>2</v>
      </c>
      <c r="J208" s="2">
        <v>1</v>
      </c>
      <c r="K208" s="2" t="str">
        <f t="shared" si="10"/>
        <v>2º Semestre</v>
      </c>
      <c r="L208" s="2" t="str">
        <f t="shared" si="12"/>
        <v>T4</v>
      </c>
      <c r="M208" s="2" t="str">
        <f t="shared" si="9"/>
        <v>nov</v>
      </c>
      <c r="N208" s="2">
        <v>11</v>
      </c>
    </row>
    <row r="209" spans="2:14" x14ac:dyDescent="0.3">
      <c r="B209" s="2">
        <v>208</v>
      </c>
      <c r="C209" s="3">
        <v>45973</v>
      </c>
      <c r="D209" s="4" t="s">
        <v>26</v>
      </c>
      <c r="E209" s="4" t="s">
        <v>14</v>
      </c>
      <c r="F209" s="4" t="s">
        <v>29</v>
      </c>
      <c r="G209" s="4" t="s">
        <v>16</v>
      </c>
      <c r="H209" s="2">
        <v>20</v>
      </c>
      <c r="I209" s="2">
        <v>1</v>
      </c>
      <c r="J209" s="2">
        <v>1</v>
      </c>
      <c r="K209" s="2" t="str">
        <f t="shared" si="10"/>
        <v>2º Semestre</v>
      </c>
      <c r="L209" s="2" t="str">
        <f t="shared" si="12"/>
        <v>T4</v>
      </c>
      <c r="M209" s="2" t="str">
        <f t="shared" si="9"/>
        <v>nov</v>
      </c>
      <c r="N209" s="2">
        <v>11</v>
      </c>
    </row>
    <row r="210" spans="2:14" x14ac:dyDescent="0.3">
      <c r="B210" s="2">
        <v>209</v>
      </c>
      <c r="C210" s="3">
        <v>45974</v>
      </c>
      <c r="D210" s="4" t="s">
        <v>23</v>
      </c>
      <c r="E210" s="4" t="s">
        <v>20</v>
      </c>
      <c r="F210" s="4" t="s">
        <v>41</v>
      </c>
      <c r="G210" s="4" t="s">
        <v>33</v>
      </c>
      <c r="H210" s="2">
        <v>30</v>
      </c>
      <c r="I210" s="2">
        <v>4</v>
      </c>
      <c r="J210" s="2">
        <v>1</v>
      </c>
      <c r="K210" s="2" t="str">
        <f t="shared" si="10"/>
        <v>2º Semestre</v>
      </c>
      <c r="L210" s="2" t="str">
        <f t="shared" si="12"/>
        <v>T4</v>
      </c>
      <c r="M210" s="2" t="str">
        <f t="shared" si="9"/>
        <v>nov</v>
      </c>
      <c r="N210" s="2">
        <v>11</v>
      </c>
    </row>
    <row r="211" spans="2:14" x14ac:dyDescent="0.3">
      <c r="B211" s="2">
        <v>210</v>
      </c>
      <c r="C211" s="3">
        <v>45975</v>
      </c>
      <c r="D211" s="4" t="s">
        <v>13</v>
      </c>
      <c r="E211" s="4" t="s">
        <v>43</v>
      </c>
      <c r="F211" s="4" t="s">
        <v>44</v>
      </c>
      <c r="G211" s="4" t="s">
        <v>22</v>
      </c>
      <c r="H211" s="2">
        <v>110</v>
      </c>
      <c r="I211" s="2">
        <v>2</v>
      </c>
      <c r="J211" s="2">
        <v>2</v>
      </c>
      <c r="K211" s="2" t="str">
        <f t="shared" si="10"/>
        <v>2º Semestre</v>
      </c>
      <c r="L211" s="2" t="str">
        <f t="shared" si="12"/>
        <v>T4</v>
      </c>
      <c r="M211" s="2" t="str">
        <f t="shared" si="9"/>
        <v>nov</v>
      </c>
      <c r="N211" s="2">
        <v>11</v>
      </c>
    </row>
    <row r="212" spans="2:14" x14ac:dyDescent="0.3">
      <c r="B212" s="2">
        <v>211</v>
      </c>
      <c r="C212" s="3">
        <v>45978</v>
      </c>
      <c r="D212" s="4" t="s">
        <v>19</v>
      </c>
      <c r="E212" s="4" t="s">
        <v>24</v>
      </c>
      <c r="F212" s="4" t="s">
        <v>46</v>
      </c>
      <c r="G212" s="4" t="s">
        <v>22</v>
      </c>
      <c r="H212" s="2">
        <v>82</v>
      </c>
      <c r="I212" s="2">
        <v>2</v>
      </c>
      <c r="J212" s="2">
        <v>2</v>
      </c>
      <c r="K212" s="2" t="str">
        <f t="shared" si="10"/>
        <v>2º Semestre</v>
      </c>
      <c r="L212" s="2" t="str">
        <f t="shared" si="12"/>
        <v>T4</v>
      </c>
      <c r="M212" s="2" t="str">
        <f t="shared" si="9"/>
        <v>nov</v>
      </c>
      <c r="N212" s="2">
        <v>11</v>
      </c>
    </row>
    <row r="213" spans="2:14" x14ac:dyDescent="0.3">
      <c r="B213" s="2">
        <v>212</v>
      </c>
      <c r="C213" s="3">
        <v>45979</v>
      </c>
      <c r="D213" s="4" t="s">
        <v>30</v>
      </c>
      <c r="E213" s="4" t="s">
        <v>17</v>
      </c>
      <c r="F213" s="4" t="s">
        <v>50</v>
      </c>
      <c r="G213" s="4" t="s">
        <v>16</v>
      </c>
      <c r="H213" s="2">
        <v>10</v>
      </c>
      <c r="I213" s="2">
        <v>4</v>
      </c>
      <c r="J213" s="2">
        <v>2</v>
      </c>
      <c r="K213" s="2" t="str">
        <f t="shared" si="10"/>
        <v>2º Semestre</v>
      </c>
      <c r="L213" s="2" t="str">
        <f t="shared" si="12"/>
        <v>T4</v>
      </c>
      <c r="M213" s="2" t="str">
        <f t="shared" si="9"/>
        <v>nov</v>
      </c>
      <c r="N213" s="2">
        <v>11</v>
      </c>
    </row>
    <row r="214" spans="2:14" x14ac:dyDescent="0.3">
      <c r="B214" s="2">
        <v>213</v>
      </c>
      <c r="C214" s="3">
        <v>45980</v>
      </c>
      <c r="D214" s="4" t="s">
        <v>13</v>
      </c>
      <c r="E214" s="4" t="s">
        <v>14</v>
      </c>
      <c r="F214" s="4" t="s">
        <v>15</v>
      </c>
      <c r="G214" s="4" t="s">
        <v>16</v>
      </c>
      <c r="H214" s="2">
        <v>110</v>
      </c>
      <c r="I214" s="2">
        <v>1</v>
      </c>
      <c r="J214" s="2">
        <v>1</v>
      </c>
      <c r="K214" s="2" t="str">
        <f t="shared" si="10"/>
        <v>2º Semestre</v>
      </c>
      <c r="L214" s="2" t="str">
        <f t="shared" si="12"/>
        <v>T4</v>
      </c>
      <c r="M214" s="2" t="str">
        <f t="shared" si="9"/>
        <v>nov</v>
      </c>
      <c r="N214" s="2">
        <v>11</v>
      </c>
    </row>
    <row r="215" spans="2:14" x14ac:dyDescent="0.3">
      <c r="B215" s="2">
        <v>214</v>
      </c>
      <c r="C215" s="3">
        <v>45981</v>
      </c>
      <c r="D215" s="4" t="s">
        <v>26</v>
      </c>
      <c r="E215" s="4" t="s">
        <v>27</v>
      </c>
      <c r="F215" s="4" t="s">
        <v>39</v>
      </c>
      <c r="G215" s="4" t="s">
        <v>16</v>
      </c>
      <c r="H215" s="2">
        <v>35</v>
      </c>
      <c r="I215" s="2">
        <v>1</v>
      </c>
      <c r="J215" s="2">
        <v>1</v>
      </c>
      <c r="K215" s="2" t="str">
        <f t="shared" si="10"/>
        <v>2º Semestre</v>
      </c>
      <c r="L215" s="2" t="str">
        <f t="shared" si="12"/>
        <v>T4</v>
      </c>
      <c r="M215" s="2" t="str">
        <f t="shared" si="9"/>
        <v>nov</v>
      </c>
      <c r="N215" s="2">
        <v>11</v>
      </c>
    </row>
    <row r="216" spans="2:14" x14ac:dyDescent="0.3">
      <c r="B216" s="2">
        <v>215</v>
      </c>
      <c r="C216" s="3">
        <v>45982</v>
      </c>
      <c r="D216" s="4" t="s">
        <v>19</v>
      </c>
      <c r="E216" s="4" t="s">
        <v>20</v>
      </c>
      <c r="F216" s="4" t="s">
        <v>21</v>
      </c>
      <c r="G216" s="4" t="s">
        <v>22</v>
      </c>
      <c r="H216" s="2">
        <v>82</v>
      </c>
      <c r="I216" s="2">
        <v>3</v>
      </c>
      <c r="J216" s="2">
        <v>1</v>
      </c>
      <c r="K216" s="2" t="str">
        <f t="shared" si="10"/>
        <v>2º Semestre</v>
      </c>
      <c r="L216" s="2" t="str">
        <f t="shared" si="12"/>
        <v>T4</v>
      </c>
      <c r="M216" s="2" t="str">
        <f t="shared" si="9"/>
        <v>nov</v>
      </c>
      <c r="N216" s="2">
        <v>11</v>
      </c>
    </row>
    <row r="217" spans="2:14" x14ac:dyDescent="0.3">
      <c r="B217" s="2">
        <v>216</v>
      </c>
      <c r="C217" s="3">
        <v>45985</v>
      </c>
      <c r="D217" s="4" t="s">
        <v>30</v>
      </c>
      <c r="E217" s="4" t="s">
        <v>31</v>
      </c>
      <c r="F217" s="4" t="s">
        <v>32</v>
      </c>
      <c r="G217" s="4" t="s">
        <v>33</v>
      </c>
      <c r="H217" s="2">
        <v>10</v>
      </c>
      <c r="I217" s="2">
        <v>6</v>
      </c>
      <c r="J217" s="2">
        <v>0</v>
      </c>
      <c r="K217" s="2" t="str">
        <f t="shared" si="10"/>
        <v>2º Semestre</v>
      </c>
      <c r="L217" s="2" t="str">
        <f t="shared" si="12"/>
        <v>T4</v>
      </c>
      <c r="M217" s="2" t="str">
        <f t="shared" si="9"/>
        <v>nov</v>
      </c>
      <c r="N217" s="2">
        <v>11</v>
      </c>
    </row>
    <row r="218" spans="2:14" x14ac:dyDescent="0.3">
      <c r="B218" s="2">
        <v>217</v>
      </c>
      <c r="C218" s="3">
        <v>45986</v>
      </c>
      <c r="D218" s="4" t="s">
        <v>13</v>
      </c>
      <c r="E218" s="4" t="s">
        <v>34</v>
      </c>
      <c r="F218" s="4" t="s">
        <v>35</v>
      </c>
      <c r="G218" s="4" t="s">
        <v>36</v>
      </c>
      <c r="H218" s="2">
        <v>120</v>
      </c>
      <c r="I218" s="2">
        <v>1</v>
      </c>
      <c r="J218" s="2">
        <v>1</v>
      </c>
      <c r="K218" s="2" t="str">
        <f t="shared" si="10"/>
        <v>2º Semestre</v>
      </c>
      <c r="L218" s="2" t="str">
        <f t="shared" si="12"/>
        <v>T4</v>
      </c>
      <c r="M218" s="2" t="str">
        <f t="shared" si="9"/>
        <v>nov</v>
      </c>
      <c r="N218" s="2">
        <v>11</v>
      </c>
    </row>
    <row r="219" spans="2:14" x14ac:dyDescent="0.3">
      <c r="B219" s="2">
        <v>218</v>
      </c>
      <c r="C219" s="3">
        <v>45987</v>
      </c>
      <c r="D219" s="4" t="s">
        <v>23</v>
      </c>
      <c r="E219" s="4" t="s">
        <v>24</v>
      </c>
      <c r="F219" s="4" t="s">
        <v>25</v>
      </c>
      <c r="G219" s="4" t="s">
        <v>22</v>
      </c>
      <c r="H219" s="2">
        <v>44</v>
      </c>
      <c r="I219" s="2">
        <v>3</v>
      </c>
      <c r="J219" s="2">
        <v>2</v>
      </c>
      <c r="K219" s="2" t="str">
        <f t="shared" si="10"/>
        <v>2º Semestre</v>
      </c>
      <c r="L219" s="2" t="str">
        <f t="shared" si="12"/>
        <v>T4</v>
      </c>
      <c r="M219" s="2" t="str">
        <f t="shared" si="9"/>
        <v>nov</v>
      </c>
      <c r="N219" s="2">
        <v>11</v>
      </c>
    </row>
    <row r="220" spans="2:14" x14ac:dyDescent="0.3">
      <c r="B220" s="2">
        <v>219</v>
      </c>
      <c r="C220" s="3">
        <v>45988</v>
      </c>
      <c r="D220" s="4" t="s">
        <v>13</v>
      </c>
      <c r="E220" s="4" t="s">
        <v>17</v>
      </c>
      <c r="F220" s="4" t="s">
        <v>18</v>
      </c>
      <c r="G220" s="4" t="s">
        <v>16</v>
      </c>
      <c r="H220" s="2">
        <v>120</v>
      </c>
      <c r="I220" s="2">
        <v>2</v>
      </c>
      <c r="J220" s="2">
        <v>1</v>
      </c>
      <c r="K220" s="2" t="str">
        <f t="shared" si="10"/>
        <v>2º Semestre</v>
      </c>
      <c r="L220" s="2" t="str">
        <f t="shared" si="12"/>
        <v>T4</v>
      </c>
      <c r="M220" s="2" t="str">
        <f t="shared" si="9"/>
        <v>nov</v>
      </c>
      <c r="N220" s="2">
        <v>11</v>
      </c>
    </row>
    <row r="221" spans="2:14" x14ac:dyDescent="0.3">
      <c r="B221" s="2">
        <v>220</v>
      </c>
      <c r="C221" s="3">
        <v>45989</v>
      </c>
      <c r="D221" s="4" t="s">
        <v>26</v>
      </c>
      <c r="E221" s="4" t="s">
        <v>14</v>
      </c>
      <c r="F221" s="4" t="s">
        <v>29</v>
      </c>
      <c r="G221" s="4" t="s">
        <v>16</v>
      </c>
      <c r="H221" s="2">
        <v>26</v>
      </c>
      <c r="I221" s="2">
        <v>1</v>
      </c>
      <c r="J221" s="2">
        <v>1</v>
      </c>
      <c r="K221" s="2" t="str">
        <f t="shared" si="10"/>
        <v>2º Semestre</v>
      </c>
      <c r="L221" s="2" t="str">
        <f t="shared" si="12"/>
        <v>T4</v>
      </c>
      <c r="M221" s="2" t="str">
        <f t="shared" si="9"/>
        <v>nov</v>
      </c>
      <c r="N221" s="2">
        <v>11</v>
      </c>
    </row>
    <row r="222" spans="2:14" x14ac:dyDescent="0.3">
      <c r="B222" s="2">
        <v>221</v>
      </c>
      <c r="C222" s="3">
        <v>45992</v>
      </c>
      <c r="D222" s="4" t="s">
        <v>13</v>
      </c>
      <c r="E222" s="4" t="s">
        <v>14</v>
      </c>
      <c r="F222" s="4" t="s">
        <v>15</v>
      </c>
      <c r="G222" s="4" t="s">
        <v>16</v>
      </c>
      <c r="H222" s="2">
        <v>110</v>
      </c>
      <c r="I222" s="2">
        <v>1</v>
      </c>
      <c r="J222" s="2">
        <v>1</v>
      </c>
      <c r="K222" s="2" t="str">
        <f t="shared" si="10"/>
        <v>2º Semestre</v>
      </c>
      <c r="L222" s="2" t="str">
        <f t="shared" si="12"/>
        <v>T4</v>
      </c>
      <c r="M222" s="2" t="str">
        <f t="shared" si="9"/>
        <v>dez</v>
      </c>
      <c r="N222" s="2">
        <v>12</v>
      </c>
    </row>
    <row r="223" spans="2:14" x14ac:dyDescent="0.3">
      <c r="B223" s="2">
        <v>222</v>
      </c>
      <c r="C223" s="3">
        <v>45993</v>
      </c>
      <c r="D223" s="4" t="s">
        <v>19</v>
      </c>
      <c r="E223" s="4" t="s">
        <v>20</v>
      </c>
      <c r="F223" s="4" t="s">
        <v>21</v>
      </c>
      <c r="G223" s="4" t="s">
        <v>22</v>
      </c>
      <c r="H223" s="2">
        <v>85</v>
      </c>
      <c r="I223" s="2">
        <v>3</v>
      </c>
      <c r="J223" s="2">
        <v>1</v>
      </c>
      <c r="K223" s="2" t="str">
        <f t="shared" si="10"/>
        <v>2º Semestre</v>
      </c>
      <c r="L223" s="2" t="str">
        <f t="shared" si="12"/>
        <v>T4</v>
      </c>
      <c r="M223" s="2" t="str">
        <f t="shared" si="9"/>
        <v>dez</v>
      </c>
      <c r="N223" s="2">
        <v>12</v>
      </c>
    </row>
    <row r="224" spans="2:14" x14ac:dyDescent="0.3">
      <c r="B224" s="2">
        <v>223</v>
      </c>
      <c r="C224" s="3">
        <v>45994</v>
      </c>
      <c r="D224" s="4" t="s">
        <v>23</v>
      </c>
      <c r="E224" s="4" t="s">
        <v>24</v>
      </c>
      <c r="F224" s="4" t="s">
        <v>25</v>
      </c>
      <c r="G224" s="4" t="s">
        <v>22</v>
      </c>
      <c r="H224" s="2">
        <v>50</v>
      </c>
      <c r="I224" s="2">
        <v>2</v>
      </c>
      <c r="J224" s="2">
        <v>1</v>
      </c>
      <c r="K224" s="2" t="str">
        <f t="shared" si="10"/>
        <v>2º Semestre</v>
      </c>
      <c r="L224" s="2" t="str">
        <f t="shared" si="12"/>
        <v>T4</v>
      </c>
      <c r="M224" s="2" t="str">
        <f t="shared" si="9"/>
        <v>dez</v>
      </c>
      <c r="N224" s="2">
        <v>12</v>
      </c>
    </row>
    <row r="225" spans="2:14" x14ac:dyDescent="0.3">
      <c r="B225" s="2">
        <v>224</v>
      </c>
      <c r="C225" s="3">
        <v>45995</v>
      </c>
      <c r="D225" s="4" t="s">
        <v>26</v>
      </c>
      <c r="E225" s="4" t="s">
        <v>27</v>
      </c>
      <c r="F225" s="4" t="s">
        <v>28</v>
      </c>
      <c r="G225" s="4" t="s">
        <v>16</v>
      </c>
      <c r="H225" s="2">
        <v>26</v>
      </c>
      <c r="I225" s="2">
        <v>1</v>
      </c>
      <c r="J225" s="2">
        <v>1</v>
      </c>
      <c r="K225" s="2" t="str">
        <f t="shared" si="10"/>
        <v>2º Semestre</v>
      </c>
      <c r="L225" s="2" t="str">
        <f t="shared" si="12"/>
        <v>T4</v>
      </c>
      <c r="M225" s="2" t="str">
        <f t="shared" si="9"/>
        <v>dez</v>
      </c>
      <c r="N225" s="2">
        <v>12</v>
      </c>
    </row>
    <row r="226" spans="2:14" x14ac:dyDescent="0.3">
      <c r="B226" s="2">
        <v>225</v>
      </c>
      <c r="C226" s="3">
        <v>45996</v>
      </c>
      <c r="D226" s="4" t="s">
        <v>30</v>
      </c>
      <c r="E226" s="4" t="s">
        <v>31</v>
      </c>
      <c r="F226" s="4" t="s">
        <v>32</v>
      </c>
      <c r="G226" s="4" t="s">
        <v>33</v>
      </c>
      <c r="H226" s="2">
        <v>10</v>
      </c>
      <c r="I226" s="2">
        <v>5</v>
      </c>
      <c r="J226" s="2">
        <v>3</v>
      </c>
      <c r="K226" s="2" t="str">
        <f t="shared" si="10"/>
        <v>2º Semestre</v>
      </c>
      <c r="L226" s="2" t="str">
        <f t="shared" si="12"/>
        <v>T4</v>
      </c>
      <c r="M226" s="2" t="str">
        <f t="shared" si="9"/>
        <v>dez</v>
      </c>
      <c r="N226" s="2">
        <v>12</v>
      </c>
    </row>
    <row r="227" spans="2:14" x14ac:dyDescent="0.3">
      <c r="B227" s="2">
        <v>226</v>
      </c>
      <c r="C227" s="3">
        <v>45999</v>
      </c>
      <c r="D227" s="4" t="s">
        <v>13</v>
      </c>
      <c r="E227" s="4" t="s">
        <v>17</v>
      </c>
      <c r="F227" s="4" t="s">
        <v>18</v>
      </c>
      <c r="G227" s="4" t="s">
        <v>16</v>
      </c>
      <c r="H227" s="2">
        <v>110</v>
      </c>
      <c r="I227" s="2">
        <v>1</v>
      </c>
      <c r="J227" s="2">
        <v>1</v>
      </c>
      <c r="K227" s="2" t="str">
        <f t="shared" si="10"/>
        <v>2º Semestre</v>
      </c>
      <c r="L227" s="2" t="str">
        <f t="shared" si="12"/>
        <v>T4</v>
      </c>
      <c r="M227" s="2" t="str">
        <f t="shared" si="9"/>
        <v>dez</v>
      </c>
      <c r="N227" s="2">
        <v>12</v>
      </c>
    </row>
    <row r="228" spans="2:14" x14ac:dyDescent="0.3">
      <c r="B228" s="2">
        <v>227</v>
      </c>
      <c r="C228" s="3">
        <v>46000</v>
      </c>
      <c r="D228" s="4" t="s">
        <v>13</v>
      </c>
      <c r="E228" s="4" t="s">
        <v>37</v>
      </c>
      <c r="F228" s="4" t="s">
        <v>38</v>
      </c>
      <c r="G228" s="4" t="s">
        <v>22</v>
      </c>
      <c r="H228" s="2">
        <v>110</v>
      </c>
      <c r="I228" s="2">
        <v>2</v>
      </c>
      <c r="J228" s="2">
        <v>1</v>
      </c>
      <c r="K228" s="2" t="str">
        <f t="shared" si="10"/>
        <v>2º Semestre</v>
      </c>
      <c r="L228" s="2" t="str">
        <f t="shared" si="12"/>
        <v>T4</v>
      </c>
      <c r="M228" s="2" t="str">
        <f t="shared" si="9"/>
        <v>dez</v>
      </c>
      <c r="N228" s="2">
        <v>12</v>
      </c>
    </row>
    <row r="229" spans="2:14" x14ac:dyDescent="0.3">
      <c r="B229" s="2">
        <v>228</v>
      </c>
      <c r="C229" s="3">
        <v>46001</v>
      </c>
      <c r="D229" s="4" t="s">
        <v>26</v>
      </c>
      <c r="E229" s="4" t="s">
        <v>14</v>
      </c>
      <c r="F229" s="4" t="s">
        <v>29</v>
      </c>
      <c r="G229" s="4" t="s">
        <v>16</v>
      </c>
      <c r="H229" s="2">
        <v>30</v>
      </c>
      <c r="I229" s="2">
        <v>1</v>
      </c>
      <c r="J229" s="2">
        <v>1</v>
      </c>
      <c r="K229" s="2" t="str">
        <f t="shared" si="10"/>
        <v>2º Semestre</v>
      </c>
      <c r="L229" s="2" t="str">
        <f t="shared" si="12"/>
        <v>T4</v>
      </c>
      <c r="M229" s="2" t="str">
        <f t="shared" si="9"/>
        <v>dez</v>
      </c>
      <c r="N229" s="2">
        <v>12</v>
      </c>
    </row>
    <row r="230" spans="2:14" x14ac:dyDescent="0.3">
      <c r="B230" s="2">
        <v>229</v>
      </c>
      <c r="C230" s="3">
        <v>46002</v>
      </c>
      <c r="D230" s="4" t="s">
        <v>23</v>
      </c>
      <c r="E230" s="4" t="s">
        <v>20</v>
      </c>
      <c r="F230" s="4" t="s">
        <v>41</v>
      </c>
      <c r="G230" s="4" t="s">
        <v>33</v>
      </c>
      <c r="H230" s="2">
        <v>43</v>
      </c>
      <c r="I230" s="2">
        <v>3</v>
      </c>
      <c r="J230" s="2">
        <v>1</v>
      </c>
      <c r="K230" s="2" t="str">
        <f t="shared" si="10"/>
        <v>2º Semestre</v>
      </c>
      <c r="L230" s="2" t="str">
        <f t="shared" si="12"/>
        <v>T4</v>
      </c>
      <c r="M230" s="2" t="str">
        <f t="shared" si="9"/>
        <v>dez</v>
      </c>
      <c r="N230" s="2">
        <v>12</v>
      </c>
    </row>
    <row r="231" spans="2:14" x14ac:dyDescent="0.3">
      <c r="B231" s="2">
        <v>230</v>
      </c>
      <c r="C231" s="3">
        <v>46003</v>
      </c>
      <c r="D231" s="4" t="s">
        <v>13</v>
      </c>
      <c r="E231" s="4" t="s">
        <v>43</v>
      </c>
      <c r="F231" s="4" t="s">
        <v>44</v>
      </c>
      <c r="G231" s="4" t="s">
        <v>22</v>
      </c>
      <c r="H231" s="2">
        <v>100</v>
      </c>
      <c r="I231" s="2">
        <v>2</v>
      </c>
      <c r="J231" s="2">
        <v>1</v>
      </c>
      <c r="K231" s="2" t="str">
        <f t="shared" si="10"/>
        <v>2º Semestre</v>
      </c>
      <c r="L231" s="2" t="str">
        <f t="shared" si="12"/>
        <v>T4</v>
      </c>
      <c r="M231" s="2" t="str">
        <f t="shared" si="9"/>
        <v>dez</v>
      </c>
      <c r="N231" s="2">
        <v>12</v>
      </c>
    </row>
    <row r="232" spans="2:14" x14ac:dyDescent="0.3">
      <c r="B232" s="2">
        <v>231</v>
      </c>
      <c r="C232" s="3">
        <v>46006</v>
      </c>
      <c r="D232" s="4" t="s">
        <v>19</v>
      </c>
      <c r="E232" s="4" t="s">
        <v>24</v>
      </c>
      <c r="F232" s="4" t="s">
        <v>46</v>
      </c>
      <c r="G232" s="4" t="s">
        <v>22</v>
      </c>
      <c r="H232" s="2">
        <v>85</v>
      </c>
      <c r="I232" s="2">
        <v>2</v>
      </c>
      <c r="J232" s="2">
        <v>1</v>
      </c>
      <c r="K232" s="2" t="str">
        <f t="shared" si="10"/>
        <v>2º Semestre</v>
      </c>
      <c r="L232" s="2" t="str">
        <f t="shared" si="12"/>
        <v>T4</v>
      </c>
      <c r="M232" s="2" t="str">
        <f t="shared" si="9"/>
        <v>dez</v>
      </c>
      <c r="N232" s="2">
        <v>12</v>
      </c>
    </row>
    <row r="233" spans="2:14" x14ac:dyDescent="0.3">
      <c r="B233" s="2">
        <v>232</v>
      </c>
      <c r="C233" s="3">
        <v>46007</v>
      </c>
      <c r="D233" s="4" t="s">
        <v>30</v>
      </c>
      <c r="E233" s="4" t="s">
        <v>17</v>
      </c>
      <c r="F233" s="4" t="s">
        <v>50</v>
      </c>
      <c r="G233" s="4" t="s">
        <v>16</v>
      </c>
      <c r="H233" s="2">
        <v>10</v>
      </c>
      <c r="I233" s="2">
        <v>3</v>
      </c>
      <c r="J233" s="2">
        <v>3</v>
      </c>
      <c r="K233" s="2" t="str">
        <f t="shared" si="10"/>
        <v>2º Semestre</v>
      </c>
      <c r="L233" s="2" t="str">
        <f t="shared" si="12"/>
        <v>T4</v>
      </c>
      <c r="M233" s="2" t="str">
        <f t="shared" si="9"/>
        <v>dez</v>
      </c>
      <c r="N233" s="2">
        <v>12</v>
      </c>
    </row>
    <row r="234" spans="2:14" x14ac:dyDescent="0.3">
      <c r="B234" s="2">
        <v>233</v>
      </c>
      <c r="C234" s="3">
        <v>46008</v>
      </c>
      <c r="D234" s="4" t="s">
        <v>13</v>
      </c>
      <c r="E234" s="4" t="s">
        <v>14</v>
      </c>
      <c r="F234" s="4" t="s">
        <v>15</v>
      </c>
      <c r="G234" s="4" t="s">
        <v>16</v>
      </c>
      <c r="H234" s="2">
        <v>100</v>
      </c>
      <c r="I234" s="2">
        <v>1</v>
      </c>
      <c r="J234" s="2">
        <v>1</v>
      </c>
      <c r="K234" s="2" t="str">
        <f t="shared" si="10"/>
        <v>2º Semestre</v>
      </c>
      <c r="L234" s="2" t="str">
        <f t="shared" si="12"/>
        <v>T4</v>
      </c>
      <c r="M234" s="2" t="str">
        <f t="shared" si="9"/>
        <v>dez</v>
      </c>
      <c r="N234" s="2">
        <v>12</v>
      </c>
    </row>
    <row r="235" spans="2:14" x14ac:dyDescent="0.3">
      <c r="B235" s="2">
        <v>234</v>
      </c>
      <c r="C235" s="3">
        <v>46009</v>
      </c>
      <c r="D235" s="4" t="s">
        <v>26</v>
      </c>
      <c r="E235" s="4" t="s">
        <v>27</v>
      </c>
      <c r="F235" s="4" t="s">
        <v>39</v>
      </c>
      <c r="G235" s="4" t="s">
        <v>16</v>
      </c>
      <c r="H235" s="2">
        <v>35</v>
      </c>
      <c r="I235" s="2">
        <v>1</v>
      </c>
      <c r="J235" s="2">
        <v>1</v>
      </c>
      <c r="K235" s="2" t="str">
        <f t="shared" si="10"/>
        <v>2º Semestre</v>
      </c>
      <c r="L235" s="2" t="str">
        <f t="shared" si="12"/>
        <v>T4</v>
      </c>
      <c r="M235" s="2" t="str">
        <f t="shared" si="9"/>
        <v>dez</v>
      </c>
      <c r="N235" s="2">
        <v>12</v>
      </c>
    </row>
    <row r="236" spans="2:14" x14ac:dyDescent="0.3">
      <c r="B236" s="2">
        <v>235</v>
      </c>
      <c r="C236" s="3">
        <v>46010</v>
      </c>
      <c r="D236" s="4" t="s">
        <v>19</v>
      </c>
      <c r="E236" s="4" t="s">
        <v>20</v>
      </c>
      <c r="F236" s="4" t="s">
        <v>21</v>
      </c>
      <c r="G236" s="4" t="s">
        <v>22</v>
      </c>
      <c r="H236" s="2">
        <v>80</v>
      </c>
      <c r="I236" s="2">
        <v>3</v>
      </c>
      <c r="J236" s="2">
        <v>1</v>
      </c>
      <c r="K236" s="2" t="str">
        <f t="shared" si="10"/>
        <v>2º Semestre</v>
      </c>
      <c r="L236" s="2" t="str">
        <f t="shared" si="12"/>
        <v>T4</v>
      </c>
      <c r="M236" s="2" t="str">
        <f t="shared" si="9"/>
        <v>dez</v>
      </c>
      <c r="N236" s="2">
        <v>12</v>
      </c>
    </row>
    <row r="237" spans="2:14" x14ac:dyDescent="0.3">
      <c r="B237" s="2">
        <v>236</v>
      </c>
      <c r="C237" s="3">
        <v>46013</v>
      </c>
      <c r="D237" s="4" t="s">
        <v>30</v>
      </c>
      <c r="E237" s="4" t="s">
        <v>31</v>
      </c>
      <c r="F237" s="4" t="s">
        <v>32</v>
      </c>
      <c r="G237" s="4" t="s">
        <v>33</v>
      </c>
      <c r="H237" s="2">
        <v>10</v>
      </c>
      <c r="I237" s="2">
        <v>5</v>
      </c>
      <c r="J237" s="2">
        <v>2</v>
      </c>
      <c r="K237" s="2" t="str">
        <f t="shared" si="10"/>
        <v>2º Semestre</v>
      </c>
      <c r="L237" s="2" t="str">
        <f t="shared" si="12"/>
        <v>T4</v>
      </c>
      <c r="M237" s="2" t="str">
        <f t="shared" si="9"/>
        <v>dez</v>
      </c>
      <c r="N237" s="2">
        <v>12</v>
      </c>
    </row>
    <row r="238" spans="2:14" x14ac:dyDescent="0.3">
      <c r="B238" s="2">
        <v>237</v>
      </c>
      <c r="C238" s="3">
        <v>46014</v>
      </c>
      <c r="D238" s="4" t="s">
        <v>13</v>
      </c>
      <c r="E238" s="4" t="s">
        <v>34</v>
      </c>
      <c r="F238" s="4" t="s">
        <v>35</v>
      </c>
      <c r="G238" s="4" t="s">
        <v>36</v>
      </c>
      <c r="H238" s="2">
        <v>100</v>
      </c>
      <c r="I238" s="2">
        <v>1</v>
      </c>
      <c r="J238" s="2">
        <v>1</v>
      </c>
      <c r="K238" s="2" t="str">
        <f t="shared" si="10"/>
        <v>2º Semestre</v>
      </c>
      <c r="L238" s="2" t="str">
        <f t="shared" si="12"/>
        <v>T4</v>
      </c>
      <c r="M238" s="2" t="str">
        <f t="shared" si="9"/>
        <v>dez</v>
      </c>
      <c r="N238" s="2">
        <v>12</v>
      </c>
    </row>
    <row r="239" spans="2:14" x14ac:dyDescent="0.3">
      <c r="B239" s="2">
        <v>238</v>
      </c>
      <c r="C239" s="3">
        <v>46017</v>
      </c>
      <c r="D239" s="4" t="s">
        <v>23</v>
      </c>
      <c r="E239" s="4" t="s">
        <v>24</v>
      </c>
      <c r="F239" s="4" t="s">
        <v>25</v>
      </c>
      <c r="G239" s="4" t="s">
        <v>22</v>
      </c>
      <c r="H239" s="2">
        <v>50</v>
      </c>
      <c r="I239" s="2">
        <v>2</v>
      </c>
      <c r="J239" s="2">
        <v>1</v>
      </c>
      <c r="K239" s="2" t="str">
        <f t="shared" si="10"/>
        <v>2º Semestre</v>
      </c>
      <c r="L239" s="2" t="str">
        <f t="shared" si="12"/>
        <v>T4</v>
      </c>
      <c r="M239" s="2" t="str">
        <f t="shared" si="9"/>
        <v>dez</v>
      </c>
      <c r="N239" s="2">
        <v>12</v>
      </c>
    </row>
    <row r="240" spans="2:14" x14ac:dyDescent="0.3">
      <c r="B240" s="2">
        <v>239</v>
      </c>
      <c r="C240" s="3">
        <v>46020</v>
      </c>
      <c r="D240" s="4" t="s">
        <v>13</v>
      </c>
      <c r="E240" s="4" t="s">
        <v>17</v>
      </c>
      <c r="F240" s="4" t="s">
        <v>18</v>
      </c>
      <c r="G240" s="4" t="s">
        <v>16</v>
      </c>
      <c r="H240" s="2">
        <v>100</v>
      </c>
      <c r="I240" s="2">
        <v>1</v>
      </c>
      <c r="J240" s="2">
        <v>1</v>
      </c>
      <c r="K240" s="2" t="str">
        <f t="shared" si="10"/>
        <v>2º Semestre</v>
      </c>
      <c r="L240" s="2" t="str">
        <f t="shared" si="12"/>
        <v>T4</v>
      </c>
      <c r="M240" s="2" t="str">
        <f t="shared" si="9"/>
        <v>dez</v>
      </c>
      <c r="N240" s="2">
        <v>12</v>
      </c>
    </row>
    <row r="241" spans="2:14" x14ac:dyDescent="0.3">
      <c r="B241" s="2">
        <v>240</v>
      </c>
      <c r="C241" s="3">
        <v>46021</v>
      </c>
      <c r="D241" s="4" t="s">
        <v>26</v>
      </c>
      <c r="E241" s="4" t="s">
        <v>14</v>
      </c>
      <c r="F241" s="4" t="s">
        <v>29</v>
      </c>
      <c r="G241" s="4" t="s">
        <v>16</v>
      </c>
      <c r="H241" s="2">
        <v>20</v>
      </c>
      <c r="I241" s="2">
        <v>1</v>
      </c>
      <c r="J241" s="2">
        <v>1</v>
      </c>
      <c r="K241" s="2" t="str">
        <f t="shared" si="10"/>
        <v>2º Semestre</v>
      </c>
      <c r="L241" s="2" t="str">
        <f t="shared" si="12"/>
        <v>T4</v>
      </c>
      <c r="M241" s="2" t="str">
        <f t="shared" si="9"/>
        <v>dez</v>
      </c>
      <c r="N241" s="2">
        <v>12</v>
      </c>
    </row>
    <row r="242" spans="2:14" x14ac:dyDescent="0.3">
      <c r="B242">
        <v>241</v>
      </c>
      <c r="C242" t="s">
        <v>93</v>
      </c>
      <c r="D242" t="s">
        <v>23</v>
      </c>
      <c r="E242" t="s">
        <v>20</v>
      </c>
      <c r="F242" t="s">
        <v>21</v>
      </c>
      <c r="G242" t="s">
        <v>22</v>
      </c>
      <c r="H242">
        <v>44</v>
      </c>
      <c r="I242">
        <v>1</v>
      </c>
      <c r="J242">
        <v>1</v>
      </c>
      <c r="K242" t="s">
        <v>94</v>
      </c>
      <c r="L242" t="s">
        <v>95</v>
      </c>
      <c r="M242" t="s">
        <v>96</v>
      </c>
      <c r="N242">
        <v>7</v>
      </c>
    </row>
    <row r="243" spans="2:14" x14ac:dyDescent="0.3">
      <c r="B243">
        <v>242</v>
      </c>
      <c r="C243" t="s">
        <v>97</v>
      </c>
      <c r="D243" t="s">
        <v>19</v>
      </c>
      <c r="E243" t="s">
        <v>20</v>
      </c>
      <c r="F243" t="s">
        <v>21</v>
      </c>
      <c r="G243" t="s">
        <v>22</v>
      </c>
      <c r="H243">
        <v>100</v>
      </c>
      <c r="I243">
        <v>2</v>
      </c>
      <c r="J243">
        <v>3</v>
      </c>
      <c r="K243" t="s">
        <v>94</v>
      </c>
      <c r="L243" t="s">
        <v>95</v>
      </c>
      <c r="M243" t="s">
        <v>96</v>
      </c>
      <c r="N243">
        <v>7</v>
      </c>
    </row>
    <row r="244" spans="2:14" x14ac:dyDescent="0.3">
      <c r="B244">
        <v>243</v>
      </c>
      <c r="C244" t="s">
        <v>98</v>
      </c>
      <c r="D244" t="s">
        <v>26</v>
      </c>
      <c r="E244" t="s">
        <v>14</v>
      </c>
      <c r="F244" t="s">
        <v>15</v>
      </c>
      <c r="G244" t="s">
        <v>16</v>
      </c>
      <c r="H244">
        <v>30</v>
      </c>
      <c r="I244">
        <v>1</v>
      </c>
      <c r="J244">
        <v>2</v>
      </c>
      <c r="K244" t="s">
        <v>94</v>
      </c>
      <c r="L244" t="s">
        <v>95</v>
      </c>
      <c r="M244" t="s">
        <v>96</v>
      </c>
      <c r="N244">
        <v>7</v>
      </c>
    </row>
    <row r="245" spans="2:14" x14ac:dyDescent="0.3">
      <c r="B245">
        <v>244</v>
      </c>
      <c r="C245" t="s">
        <v>99</v>
      </c>
      <c r="D245" t="s">
        <v>26</v>
      </c>
      <c r="E245" t="s">
        <v>31</v>
      </c>
      <c r="F245" t="s">
        <v>32</v>
      </c>
      <c r="G245" t="s">
        <v>33</v>
      </c>
      <c r="H245">
        <v>30</v>
      </c>
      <c r="I245">
        <v>1</v>
      </c>
      <c r="J245">
        <v>0</v>
      </c>
      <c r="K245" t="s">
        <v>94</v>
      </c>
      <c r="L245" t="s">
        <v>95</v>
      </c>
      <c r="M245" t="s">
        <v>96</v>
      </c>
      <c r="N245">
        <v>7</v>
      </c>
    </row>
    <row r="246" spans="2:14" x14ac:dyDescent="0.3">
      <c r="B246">
        <v>245</v>
      </c>
      <c r="C246" t="s">
        <v>100</v>
      </c>
      <c r="D246" t="s">
        <v>30</v>
      </c>
      <c r="E246" t="s">
        <v>14</v>
      </c>
      <c r="F246" t="s">
        <v>15</v>
      </c>
      <c r="G246" t="s">
        <v>16</v>
      </c>
      <c r="H246">
        <v>16</v>
      </c>
      <c r="I246">
        <v>4</v>
      </c>
      <c r="J246">
        <v>1</v>
      </c>
      <c r="K246" t="s">
        <v>94</v>
      </c>
      <c r="L246" t="s">
        <v>95</v>
      </c>
      <c r="M246" t="s">
        <v>96</v>
      </c>
      <c r="N246">
        <v>7</v>
      </c>
    </row>
    <row r="247" spans="2:14" x14ac:dyDescent="0.3">
      <c r="B247">
        <v>246</v>
      </c>
      <c r="C247" t="s">
        <v>101</v>
      </c>
      <c r="D247" t="s">
        <v>13</v>
      </c>
      <c r="E247" t="s">
        <v>31</v>
      </c>
      <c r="F247" t="s">
        <v>32</v>
      </c>
      <c r="G247" t="s">
        <v>33</v>
      </c>
      <c r="H247">
        <v>120</v>
      </c>
      <c r="I247">
        <v>1</v>
      </c>
      <c r="J247">
        <v>0</v>
      </c>
      <c r="K247" t="s">
        <v>94</v>
      </c>
      <c r="L247" t="s">
        <v>95</v>
      </c>
      <c r="M247" t="s">
        <v>96</v>
      </c>
      <c r="N247">
        <v>7</v>
      </c>
    </row>
    <row r="248" spans="2:14" x14ac:dyDescent="0.3">
      <c r="B248">
        <v>247</v>
      </c>
      <c r="C248" t="s">
        <v>102</v>
      </c>
      <c r="D248" t="s">
        <v>23</v>
      </c>
      <c r="E248" t="s">
        <v>20</v>
      </c>
      <c r="F248" t="s">
        <v>21</v>
      </c>
      <c r="G248" t="s">
        <v>22</v>
      </c>
      <c r="H248">
        <v>50</v>
      </c>
      <c r="I248">
        <v>1</v>
      </c>
      <c r="J248">
        <v>3</v>
      </c>
      <c r="K248" t="s">
        <v>94</v>
      </c>
      <c r="L248" t="s">
        <v>95</v>
      </c>
      <c r="M248" t="s">
        <v>96</v>
      </c>
      <c r="N248">
        <v>7</v>
      </c>
    </row>
    <row r="249" spans="2:14" x14ac:dyDescent="0.3">
      <c r="B249">
        <v>248</v>
      </c>
      <c r="C249" t="s">
        <v>103</v>
      </c>
      <c r="D249" t="s">
        <v>13</v>
      </c>
      <c r="E249" t="s">
        <v>31</v>
      </c>
      <c r="F249" t="s">
        <v>32</v>
      </c>
      <c r="G249" t="s">
        <v>33</v>
      </c>
      <c r="H249">
        <v>120</v>
      </c>
      <c r="I249">
        <v>1</v>
      </c>
      <c r="J249">
        <v>2</v>
      </c>
      <c r="K249" t="s">
        <v>94</v>
      </c>
      <c r="L249" t="s">
        <v>95</v>
      </c>
      <c r="M249" t="s">
        <v>96</v>
      </c>
      <c r="N249">
        <v>7</v>
      </c>
    </row>
    <row r="250" spans="2:14" x14ac:dyDescent="0.3">
      <c r="B250">
        <v>249</v>
      </c>
      <c r="C250" t="s">
        <v>104</v>
      </c>
      <c r="D250" t="s">
        <v>23</v>
      </c>
      <c r="E250" t="s">
        <v>14</v>
      </c>
      <c r="F250" t="s">
        <v>15</v>
      </c>
      <c r="G250" t="s">
        <v>16</v>
      </c>
      <c r="H250">
        <v>43</v>
      </c>
      <c r="I250">
        <v>3</v>
      </c>
      <c r="J250">
        <v>2</v>
      </c>
      <c r="K250" t="s">
        <v>94</v>
      </c>
      <c r="L250" t="s">
        <v>95</v>
      </c>
      <c r="M250" t="s">
        <v>96</v>
      </c>
      <c r="N250">
        <v>7</v>
      </c>
    </row>
    <row r="251" spans="2:14" x14ac:dyDescent="0.3">
      <c r="B251">
        <v>250</v>
      </c>
      <c r="C251" t="s">
        <v>105</v>
      </c>
      <c r="D251" t="s">
        <v>30</v>
      </c>
      <c r="E251" t="s">
        <v>14</v>
      </c>
      <c r="F251" t="s">
        <v>15</v>
      </c>
      <c r="G251" t="s">
        <v>16</v>
      </c>
      <c r="H251">
        <v>17</v>
      </c>
      <c r="I251">
        <v>1</v>
      </c>
      <c r="J251">
        <v>2</v>
      </c>
      <c r="K251" t="s">
        <v>94</v>
      </c>
      <c r="L251" t="s">
        <v>95</v>
      </c>
      <c r="M251" t="s">
        <v>96</v>
      </c>
      <c r="N251">
        <v>7</v>
      </c>
    </row>
    <row r="252" spans="2:14" x14ac:dyDescent="0.3">
      <c r="B252">
        <v>251</v>
      </c>
      <c r="C252" t="s">
        <v>106</v>
      </c>
      <c r="D252" t="s">
        <v>26</v>
      </c>
      <c r="E252" t="s">
        <v>14</v>
      </c>
      <c r="F252" t="s">
        <v>15</v>
      </c>
      <c r="G252" t="s">
        <v>16</v>
      </c>
      <c r="H252">
        <v>30</v>
      </c>
      <c r="I252">
        <v>1</v>
      </c>
      <c r="J252">
        <v>1</v>
      </c>
      <c r="K252" t="s">
        <v>94</v>
      </c>
      <c r="L252" t="s">
        <v>95</v>
      </c>
      <c r="M252" t="s">
        <v>96</v>
      </c>
      <c r="N252">
        <v>7</v>
      </c>
    </row>
    <row r="253" spans="2:14" x14ac:dyDescent="0.3">
      <c r="B253">
        <v>252</v>
      </c>
      <c r="C253" t="s">
        <v>107</v>
      </c>
      <c r="D253" t="s">
        <v>30</v>
      </c>
      <c r="E253" t="s">
        <v>14</v>
      </c>
      <c r="F253" t="s">
        <v>15</v>
      </c>
      <c r="G253" t="s">
        <v>16</v>
      </c>
      <c r="H253">
        <v>17</v>
      </c>
      <c r="I253">
        <v>1</v>
      </c>
      <c r="J253">
        <v>0</v>
      </c>
      <c r="K253" t="s">
        <v>94</v>
      </c>
      <c r="L253" t="s">
        <v>95</v>
      </c>
      <c r="M253" t="s">
        <v>96</v>
      </c>
      <c r="N253">
        <v>7</v>
      </c>
    </row>
    <row r="254" spans="2:14" x14ac:dyDescent="0.3">
      <c r="B254">
        <v>253</v>
      </c>
      <c r="C254" t="s">
        <v>108</v>
      </c>
      <c r="D254" t="s">
        <v>30</v>
      </c>
      <c r="E254" t="s">
        <v>20</v>
      </c>
      <c r="F254" t="s">
        <v>21</v>
      </c>
      <c r="G254" t="s">
        <v>22</v>
      </c>
      <c r="H254">
        <v>16</v>
      </c>
      <c r="I254">
        <v>1</v>
      </c>
      <c r="J254">
        <v>0</v>
      </c>
      <c r="K254" t="s">
        <v>94</v>
      </c>
      <c r="L254" t="s">
        <v>95</v>
      </c>
      <c r="M254" t="s">
        <v>96</v>
      </c>
      <c r="N254">
        <v>7</v>
      </c>
    </row>
    <row r="255" spans="2:14" x14ac:dyDescent="0.3">
      <c r="B255">
        <v>254</v>
      </c>
      <c r="C255" t="s">
        <v>109</v>
      </c>
      <c r="D255" t="s">
        <v>26</v>
      </c>
      <c r="E255" t="s">
        <v>14</v>
      </c>
      <c r="F255" t="s">
        <v>15</v>
      </c>
      <c r="G255" t="s">
        <v>16</v>
      </c>
      <c r="H255">
        <v>30</v>
      </c>
      <c r="I255">
        <v>1</v>
      </c>
      <c r="J255">
        <v>1</v>
      </c>
      <c r="K255" t="s">
        <v>94</v>
      </c>
      <c r="L255" t="s">
        <v>95</v>
      </c>
      <c r="M255" t="s">
        <v>96</v>
      </c>
      <c r="N255">
        <v>7</v>
      </c>
    </row>
    <row r="256" spans="2:14" x14ac:dyDescent="0.3">
      <c r="B256">
        <v>255</v>
      </c>
      <c r="C256" t="s">
        <v>110</v>
      </c>
      <c r="D256" t="s">
        <v>26</v>
      </c>
      <c r="E256" t="s">
        <v>20</v>
      </c>
      <c r="F256" t="s">
        <v>21</v>
      </c>
      <c r="G256" t="s">
        <v>22</v>
      </c>
      <c r="H256">
        <v>22</v>
      </c>
      <c r="I256">
        <v>3</v>
      </c>
      <c r="J256">
        <v>0</v>
      </c>
      <c r="K256" t="s">
        <v>94</v>
      </c>
      <c r="L256" t="s">
        <v>95</v>
      </c>
      <c r="M256" t="s">
        <v>96</v>
      </c>
      <c r="N256">
        <v>7</v>
      </c>
    </row>
    <row r="257" spans="2:14" x14ac:dyDescent="0.3">
      <c r="B257">
        <v>256</v>
      </c>
      <c r="C257" t="s">
        <v>111</v>
      </c>
      <c r="D257" t="s">
        <v>19</v>
      </c>
      <c r="E257" t="s">
        <v>20</v>
      </c>
      <c r="F257" t="s">
        <v>21</v>
      </c>
      <c r="G257" t="s">
        <v>22</v>
      </c>
      <c r="H257">
        <v>102</v>
      </c>
      <c r="I257">
        <v>1</v>
      </c>
      <c r="J257">
        <v>1</v>
      </c>
      <c r="K257" t="s">
        <v>94</v>
      </c>
      <c r="L257" t="s">
        <v>95</v>
      </c>
      <c r="M257" t="s">
        <v>96</v>
      </c>
      <c r="N257">
        <v>7</v>
      </c>
    </row>
    <row r="258" spans="2:14" x14ac:dyDescent="0.3">
      <c r="B258">
        <v>257</v>
      </c>
      <c r="C258" t="s">
        <v>112</v>
      </c>
      <c r="D258" t="s">
        <v>19</v>
      </c>
      <c r="E258" t="s">
        <v>20</v>
      </c>
      <c r="F258" t="s">
        <v>21</v>
      </c>
      <c r="G258" t="s">
        <v>22</v>
      </c>
      <c r="H258">
        <v>99</v>
      </c>
      <c r="I258">
        <v>4</v>
      </c>
      <c r="J258">
        <v>1</v>
      </c>
      <c r="K258" t="s">
        <v>94</v>
      </c>
      <c r="L258" t="s">
        <v>95</v>
      </c>
      <c r="M258" t="s">
        <v>96</v>
      </c>
      <c r="N258">
        <v>7</v>
      </c>
    </row>
    <row r="259" spans="2:14" x14ac:dyDescent="0.3">
      <c r="B259">
        <v>258</v>
      </c>
      <c r="C259" t="s">
        <v>113</v>
      </c>
      <c r="D259" t="s">
        <v>30</v>
      </c>
      <c r="E259" t="s">
        <v>14</v>
      </c>
      <c r="F259" t="s">
        <v>15</v>
      </c>
      <c r="G259" t="s">
        <v>16</v>
      </c>
      <c r="H259">
        <v>15</v>
      </c>
      <c r="I259">
        <v>1</v>
      </c>
      <c r="J259">
        <v>0</v>
      </c>
      <c r="K259" t="s">
        <v>94</v>
      </c>
      <c r="L259" t="s">
        <v>95</v>
      </c>
      <c r="M259" t="s">
        <v>96</v>
      </c>
      <c r="N259">
        <v>7</v>
      </c>
    </row>
    <row r="260" spans="2:14" x14ac:dyDescent="0.3">
      <c r="B260">
        <v>259</v>
      </c>
      <c r="C260" t="s">
        <v>114</v>
      </c>
      <c r="D260" t="s">
        <v>19</v>
      </c>
      <c r="E260" t="s">
        <v>14</v>
      </c>
      <c r="F260" t="s">
        <v>15</v>
      </c>
      <c r="G260" t="s">
        <v>16</v>
      </c>
      <c r="H260">
        <v>97</v>
      </c>
      <c r="I260">
        <v>5</v>
      </c>
      <c r="J260">
        <v>1</v>
      </c>
      <c r="K260" t="s">
        <v>94</v>
      </c>
      <c r="L260" t="s">
        <v>95</v>
      </c>
      <c r="M260" t="s">
        <v>96</v>
      </c>
      <c r="N260">
        <v>7</v>
      </c>
    </row>
    <row r="261" spans="2:14" x14ac:dyDescent="0.3">
      <c r="B261">
        <v>260</v>
      </c>
      <c r="C261" t="s">
        <v>115</v>
      </c>
      <c r="D261" t="s">
        <v>19</v>
      </c>
      <c r="E261" t="s">
        <v>20</v>
      </c>
      <c r="F261" t="s">
        <v>21</v>
      </c>
      <c r="G261" t="s">
        <v>22</v>
      </c>
      <c r="H261">
        <v>93</v>
      </c>
      <c r="I261">
        <v>1</v>
      </c>
      <c r="J261">
        <v>1</v>
      </c>
      <c r="K261" t="s">
        <v>94</v>
      </c>
      <c r="L261" t="s">
        <v>95</v>
      </c>
      <c r="M261" t="s">
        <v>96</v>
      </c>
      <c r="N261">
        <v>7</v>
      </c>
    </row>
    <row r="262" spans="2:14" x14ac:dyDescent="0.3">
      <c r="B262">
        <v>261</v>
      </c>
      <c r="C262" t="s">
        <v>116</v>
      </c>
      <c r="D262" t="s">
        <v>19</v>
      </c>
      <c r="E262" t="s">
        <v>20</v>
      </c>
      <c r="F262" t="s">
        <v>21</v>
      </c>
      <c r="G262" t="s">
        <v>22</v>
      </c>
      <c r="H262">
        <v>85</v>
      </c>
      <c r="I262">
        <v>3</v>
      </c>
      <c r="J262">
        <v>1</v>
      </c>
      <c r="K262" t="s">
        <v>94</v>
      </c>
      <c r="L262" t="s">
        <v>95</v>
      </c>
      <c r="M262" t="s">
        <v>96</v>
      </c>
      <c r="N262">
        <v>7</v>
      </c>
    </row>
    <row r="263" spans="2:14" x14ac:dyDescent="0.3">
      <c r="B263">
        <v>262</v>
      </c>
      <c r="C263" t="s">
        <v>117</v>
      </c>
      <c r="D263" t="s">
        <v>30</v>
      </c>
      <c r="E263" t="s">
        <v>20</v>
      </c>
      <c r="F263" t="s">
        <v>21</v>
      </c>
      <c r="G263" t="s">
        <v>22</v>
      </c>
      <c r="H263">
        <v>13</v>
      </c>
      <c r="I263">
        <v>3</v>
      </c>
      <c r="J263">
        <v>1</v>
      </c>
      <c r="K263" t="s">
        <v>94</v>
      </c>
      <c r="L263" t="s">
        <v>95</v>
      </c>
      <c r="M263" t="s">
        <v>96</v>
      </c>
      <c r="N263">
        <v>7</v>
      </c>
    </row>
    <row r="264" spans="2:14" x14ac:dyDescent="0.3">
      <c r="B264">
        <v>263</v>
      </c>
      <c r="C264" t="s">
        <v>118</v>
      </c>
      <c r="D264" t="s">
        <v>26</v>
      </c>
      <c r="E264" t="s">
        <v>14</v>
      </c>
      <c r="F264" t="s">
        <v>15</v>
      </c>
      <c r="G264" t="s">
        <v>16</v>
      </c>
      <c r="H264">
        <v>30</v>
      </c>
      <c r="I264">
        <v>1</v>
      </c>
      <c r="J264">
        <v>0</v>
      </c>
      <c r="K264" t="s">
        <v>94</v>
      </c>
      <c r="L264" t="s">
        <v>95</v>
      </c>
      <c r="M264" t="s">
        <v>96</v>
      </c>
      <c r="N264">
        <v>7</v>
      </c>
    </row>
    <row r="265" spans="2:14" x14ac:dyDescent="0.3">
      <c r="B265">
        <v>264</v>
      </c>
      <c r="C265" t="s">
        <v>119</v>
      </c>
      <c r="D265" t="s">
        <v>23</v>
      </c>
      <c r="E265" t="s">
        <v>20</v>
      </c>
      <c r="F265" t="s">
        <v>21</v>
      </c>
      <c r="G265" t="s">
        <v>22</v>
      </c>
      <c r="H265">
        <v>50</v>
      </c>
      <c r="I265">
        <v>5</v>
      </c>
      <c r="J265">
        <v>1</v>
      </c>
      <c r="K265" t="s">
        <v>94</v>
      </c>
      <c r="L265" t="s">
        <v>95</v>
      </c>
      <c r="M265" t="s">
        <v>96</v>
      </c>
      <c r="N265">
        <v>7</v>
      </c>
    </row>
    <row r="266" spans="2:14" x14ac:dyDescent="0.3">
      <c r="B266">
        <v>265</v>
      </c>
      <c r="C266" t="s">
        <v>120</v>
      </c>
      <c r="D266" t="s">
        <v>13</v>
      </c>
      <c r="E266" t="s">
        <v>14</v>
      </c>
      <c r="F266" t="s">
        <v>15</v>
      </c>
      <c r="G266" t="s">
        <v>16</v>
      </c>
      <c r="H266">
        <v>120</v>
      </c>
      <c r="I266">
        <v>2</v>
      </c>
      <c r="J266">
        <v>1</v>
      </c>
      <c r="K266" t="s">
        <v>94</v>
      </c>
      <c r="L266" t="s">
        <v>95</v>
      </c>
      <c r="M266" t="s">
        <v>96</v>
      </c>
      <c r="N266">
        <v>7</v>
      </c>
    </row>
    <row r="267" spans="2:14" x14ac:dyDescent="0.3">
      <c r="B267">
        <v>266</v>
      </c>
      <c r="C267" t="s">
        <v>121</v>
      </c>
      <c r="D267" t="s">
        <v>23</v>
      </c>
      <c r="E267" t="s">
        <v>14</v>
      </c>
      <c r="F267" t="s">
        <v>15</v>
      </c>
      <c r="G267" t="s">
        <v>16</v>
      </c>
      <c r="H267">
        <v>50</v>
      </c>
      <c r="I267">
        <v>1</v>
      </c>
      <c r="J267">
        <v>1</v>
      </c>
      <c r="K267" t="s">
        <v>94</v>
      </c>
      <c r="L267" t="s">
        <v>95</v>
      </c>
      <c r="M267" t="s">
        <v>96</v>
      </c>
      <c r="N267">
        <v>7</v>
      </c>
    </row>
    <row r="268" spans="2:14" x14ac:dyDescent="0.3">
      <c r="B268">
        <v>267</v>
      </c>
      <c r="C268" t="s">
        <v>122</v>
      </c>
      <c r="D268" t="s">
        <v>26</v>
      </c>
      <c r="E268" t="s">
        <v>20</v>
      </c>
      <c r="F268" t="s">
        <v>21</v>
      </c>
      <c r="G268" t="s">
        <v>22</v>
      </c>
      <c r="H268">
        <v>33</v>
      </c>
      <c r="I268">
        <v>1</v>
      </c>
      <c r="J268">
        <v>1</v>
      </c>
      <c r="K268" t="s">
        <v>94</v>
      </c>
      <c r="L268" t="s">
        <v>95</v>
      </c>
      <c r="M268" t="s">
        <v>96</v>
      </c>
      <c r="N268">
        <v>7</v>
      </c>
    </row>
    <row r="269" spans="2:14" x14ac:dyDescent="0.3">
      <c r="B269">
        <v>268</v>
      </c>
      <c r="C269" t="s">
        <v>123</v>
      </c>
      <c r="D269" t="s">
        <v>19</v>
      </c>
      <c r="E269" t="s">
        <v>20</v>
      </c>
      <c r="F269" t="s">
        <v>21</v>
      </c>
      <c r="G269" t="s">
        <v>22</v>
      </c>
      <c r="H269">
        <v>88</v>
      </c>
      <c r="I269">
        <v>1</v>
      </c>
      <c r="J269">
        <v>0</v>
      </c>
      <c r="K269" t="s">
        <v>94</v>
      </c>
      <c r="L269" t="s">
        <v>95</v>
      </c>
      <c r="M269" t="s">
        <v>96</v>
      </c>
      <c r="N269">
        <v>7</v>
      </c>
    </row>
    <row r="270" spans="2:14" x14ac:dyDescent="0.3">
      <c r="B270">
        <v>269</v>
      </c>
      <c r="C270" t="s">
        <v>124</v>
      </c>
      <c r="D270" t="s">
        <v>13</v>
      </c>
      <c r="E270" t="s">
        <v>14</v>
      </c>
      <c r="F270" t="s">
        <v>15</v>
      </c>
      <c r="G270" t="s">
        <v>16</v>
      </c>
      <c r="H270">
        <v>120</v>
      </c>
      <c r="I270">
        <v>3</v>
      </c>
      <c r="J270">
        <v>1</v>
      </c>
      <c r="K270" t="s">
        <v>94</v>
      </c>
      <c r="L270" t="s">
        <v>95</v>
      </c>
      <c r="M270" t="s">
        <v>96</v>
      </c>
      <c r="N270">
        <v>7</v>
      </c>
    </row>
    <row r="271" spans="2:14" x14ac:dyDescent="0.3">
      <c r="B271">
        <v>270</v>
      </c>
      <c r="C271" t="s">
        <v>125</v>
      </c>
      <c r="D271" t="s">
        <v>26</v>
      </c>
      <c r="E271" t="s">
        <v>20</v>
      </c>
      <c r="F271" t="s">
        <v>21</v>
      </c>
      <c r="G271" t="s">
        <v>22</v>
      </c>
      <c r="H271">
        <v>21</v>
      </c>
      <c r="I271">
        <v>2</v>
      </c>
      <c r="J271">
        <v>1</v>
      </c>
      <c r="K271" t="s">
        <v>94</v>
      </c>
      <c r="L271" t="s">
        <v>95</v>
      </c>
      <c r="M271" t="s">
        <v>96</v>
      </c>
      <c r="N271">
        <v>7</v>
      </c>
    </row>
    <row r="272" spans="2:14" x14ac:dyDescent="0.3">
      <c r="B272">
        <v>271</v>
      </c>
      <c r="C272" t="s">
        <v>126</v>
      </c>
      <c r="D272" t="s">
        <v>13</v>
      </c>
      <c r="E272" t="s">
        <v>14</v>
      </c>
      <c r="F272" t="s">
        <v>15</v>
      </c>
      <c r="G272" t="s">
        <v>16</v>
      </c>
      <c r="H272">
        <v>120</v>
      </c>
      <c r="I272">
        <v>1</v>
      </c>
      <c r="J272">
        <v>0</v>
      </c>
      <c r="K272" t="s">
        <v>94</v>
      </c>
      <c r="L272" t="s">
        <v>95</v>
      </c>
      <c r="M272" t="s">
        <v>96</v>
      </c>
      <c r="N272">
        <v>7</v>
      </c>
    </row>
    <row r="273" spans="2:14" x14ac:dyDescent="0.3">
      <c r="B273">
        <v>272</v>
      </c>
      <c r="C273" t="s">
        <v>127</v>
      </c>
      <c r="D273" t="s">
        <v>26</v>
      </c>
      <c r="E273" t="s">
        <v>31</v>
      </c>
      <c r="F273" t="s">
        <v>32</v>
      </c>
      <c r="G273" t="s">
        <v>33</v>
      </c>
      <c r="H273">
        <v>30</v>
      </c>
      <c r="I273">
        <v>2</v>
      </c>
      <c r="J273">
        <v>1</v>
      </c>
      <c r="K273" t="s">
        <v>94</v>
      </c>
      <c r="L273" t="s">
        <v>95</v>
      </c>
      <c r="M273" t="s">
        <v>128</v>
      </c>
      <c r="N273">
        <v>8</v>
      </c>
    </row>
    <row r="274" spans="2:14" x14ac:dyDescent="0.3">
      <c r="B274">
        <v>273</v>
      </c>
      <c r="C274" t="s">
        <v>129</v>
      </c>
      <c r="D274" t="s">
        <v>30</v>
      </c>
      <c r="E274" t="s">
        <v>20</v>
      </c>
      <c r="F274" t="s">
        <v>21</v>
      </c>
      <c r="G274" t="s">
        <v>22</v>
      </c>
      <c r="H274">
        <v>14</v>
      </c>
      <c r="I274">
        <v>4</v>
      </c>
      <c r="J274">
        <v>1</v>
      </c>
      <c r="K274" t="s">
        <v>94</v>
      </c>
      <c r="L274" t="s">
        <v>95</v>
      </c>
      <c r="M274" t="s">
        <v>128</v>
      </c>
      <c r="N274">
        <v>8</v>
      </c>
    </row>
    <row r="275" spans="2:14" x14ac:dyDescent="0.3">
      <c r="B275">
        <v>274</v>
      </c>
      <c r="C275" t="s">
        <v>130</v>
      </c>
      <c r="D275" t="s">
        <v>26</v>
      </c>
      <c r="E275" t="s">
        <v>14</v>
      </c>
      <c r="F275" t="s">
        <v>15</v>
      </c>
      <c r="G275" t="s">
        <v>16</v>
      </c>
      <c r="H275">
        <v>21</v>
      </c>
      <c r="I275">
        <v>2</v>
      </c>
      <c r="J275">
        <v>0</v>
      </c>
      <c r="K275" t="s">
        <v>94</v>
      </c>
      <c r="L275" t="s">
        <v>95</v>
      </c>
      <c r="M275" t="s">
        <v>128</v>
      </c>
      <c r="N275">
        <v>8</v>
      </c>
    </row>
    <row r="276" spans="2:14" x14ac:dyDescent="0.3">
      <c r="B276">
        <v>275</v>
      </c>
      <c r="C276" t="s">
        <v>131</v>
      </c>
      <c r="D276" t="s">
        <v>23</v>
      </c>
      <c r="E276" t="s">
        <v>20</v>
      </c>
      <c r="F276" t="s">
        <v>21</v>
      </c>
      <c r="G276" t="s">
        <v>22</v>
      </c>
      <c r="H276">
        <v>43</v>
      </c>
      <c r="I276">
        <v>1</v>
      </c>
      <c r="J276">
        <v>2</v>
      </c>
      <c r="K276" t="s">
        <v>94</v>
      </c>
      <c r="L276" t="s">
        <v>95</v>
      </c>
      <c r="M276" t="s">
        <v>128</v>
      </c>
      <c r="N276">
        <v>8</v>
      </c>
    </row>
    <row r="277" spans="2:14" x14ac:dyDescent="0.3">
      <c r="B277">
        <v>276</v>
      </c>
      <c r="C277" t="s">
        <v>132</v>
      </c>
      <c r="D277" t="s">
        <v>19</v>
      </c>
      <c r="E277" t="s">
        <v>14</v>
      </c>
      <c r="F277" t="s">
        <v>15</v>
      </c>
      <c r="G277" t="s">
        <v>16</v>
      </c>
      <c r="H277">
        <v>90</v>
      </c>
      <c r="I277">
        <v>2</v>
      </c>
      <c r="J277">
        <v>1</v>
      </c>
      <c r="K277" t="s">
        <v>94</v>
      </c>
      <c r="L277" t="s">
        <v>95</v>
      </c>
      <c r="M277" t="s">
        <v>128</v>
      </c>
      <c r="N277">
        <v>8</v>
      </c>
    </row>
    <row r="278" spans="2:14" x14ac:dyDescent="0.3">
      <c r="B278">
        <v>277</v>
      </c>
      <c r="C278" t="s">
        <v>133</v>
      </c>
      <c r="D278" t="s">
        <v>23</v>
      </c>
      <c r="E278" t="s">
        <v>31</v>
      </c>
      <c r="F278" t="s">
        <v>32</v>
      </c>
      <c r="G278" t="s">
        <v>33</v>
      </c>
      <c r="H278">
        <v>50</v>
      </c>
      <c r="I278">
        <v>3</v>
      </c>
      <c r="J278">
        <v>1</v>
      </c>
      <c r="K278" t="s">
        <v>94</v>
      </c>
      <c r="L278" t="s">
        <v>95</v>
      </c>
      <c r="M278" t="s">
        <v>128</v>
      </c>
      <c r="N278">
        <v>8</v>
      </c>
    </row>
    <row r="279" spans="2:14" x14ac:dyDescent="0.3">
      <c r="B279">
        <v>278</v>
      </c>
      <c r="C279" t="s">
        <v>134</v>
      </c>
      <c r="D279" t="s">
        <v>26</v>
      </c>
      <c r="E279" t="s">
        <v>14</v>
      </c>
      <c r="F279" t="s">
        <v>15</v>
      </c>
      <c r="G279" t="s">
        <v>16</v>
      </c>
      <c r="H279">
        <v>32</v>
      </c>
      <c r="I279">
        <v>1</v>
      </c>
      <c r="J279">
        <v>1</v>
      </c>
      <c r="K279" t="s">
        <v>94</v>
      </c>
      <c r="L279" t="s">
        <v>95</v>
      </c>
      <c r="M279" t="s">
        <v>128</v>
      </c>
      <c r="N279">
        <v>8</v>
      </c>
    </row>
    <row r="280" spans="2:14" x14ac:dyDescent="0.3">
      <c r="B280">
        <v>279</v>
      </c>
      <c r="C280" t="s">
        <v>135</v>
      </c>
      <c r="D280" t="s">
        <v>19</v>
      </c>
      <c r="E280" t="s">
        <v>20</v>
      </c>
      <c r="F280" t="s">
        <v>21</v>
      </c>
      <c r="G280" t="s">
        <v>22</v>
      </c>
      <c r="H280">
        <v>102</v>
      </c>
      <c r="I280">
        <v>1</v>
      </c>
      <c r="J280">
        <v>0</v>
      </c>
      <c r="K280" t="s">
        <v>94</v>
      </c>
      <c r="L280" t="s">
        <v>95</v>
      </c>
      <c r="M280" t="s">
        <v>128</v>
      </c>
      <c r="N280">
        <v>8</v>
      </c>
    </row>
    <row r="281" spans="2:14" x14ac:dyDescent="0.3">
      <c r="B281">
        <v>280</v>
      </c>
      <c r="C281" t="s">
        <v>136</v>
      </c>
      <c r="D281" t="s">
        <v>23</v>
      </c>
      <c r="E281" t="s">
        <v>14</v>
      </c>
      <c r="F281" t="s">
        <v>15</v>
      </c>
      <c r="G281" t="s">
        <v>16</v>
      </c>
      <c r="H281">
        <v>50</v>
      </c>
      <c r="I281">
        <v>1</v>
      </c>
      <c r="J281">
        <v>0</v>
      </c>
      <c r="K281" t="s">
        <v>94</v>
      </c>
      <c r="L281" t="s">
        <v>95</v>
      </c>
      <c r="M281" t="s">
        <v>128</v>
      </c>
      <c r="N281">
        <v>8</v>
      </c>
    </row>
    <row r="282" spans="2:14" x14ac:dyDescent="0.3">
      <c r="B282">
        <v>281</v>
      </c>
      <c r="C282" t="s">
        <v>137</v>
      </c>
      <c r="D282" t="s">
        <v>23</v>
      </c>
      <c r="E282" t="s">
        <v>20</v>
      </c>
      <c r="F282" t="s">
        <v>21</v>
      </c>
      <c r="G282" t="s">
        <v>22</v>
      </c>
      <c r="H282">
        <v>45</v>
      </c>
      <c r="I282">
        <v>5</v>
      </c>
      <c r="J282">
        <v>2</v>
      </c>
      <c r="K282" t="s">
        <v>94</v>
      </c>
      <c r="L282" t="s">
        <v>95</v>
      </c>
      <c r="M282" t="s">
        <v>128</v>
      </c>
      <c r="N282">
        <v>8</v>
      </c>
    </row>
    <row r="283" spans="2:14" x14ac:dyDescent="0.3">
      <c r="B283">
        <v>282</v>
      </c>
      <c r="C283" t="s">
        <v>138</v>
      </c>
      <c r="D283" t="s">
        <v>30</v>
      </c>
      <c r="E283" t="s">
        <v>14</v>
      </c>
      <c r="F283" t="s">
        <v>15</v>
      </c>
      <c r="G283" t="s">
        <v>16</v>
      </c>
      <c r="H283">
        <v>13</v>
      </c>
      <c r="I283">
        <v>2</v>
      </c>
      <c r="J283">
        <v>0</v>
      </c>
      <c r="K283" t="s">
        <v>94</v>
      </c>
      <c r="L283" t="s">
        <v>95</v>
      </c>
      <c r="M283" t="s">
        <v>128</v>
      </c>
      <c r="N283">
        <v>8</v>
      </c>
    </row>
    <row r="284" spans="2:14" x14ac:dyDescent="0.3">
      <c r="B284">
        <v>283</v>
      </c>
      <c r="C284" t="s">
        <v>139</v>
      </c>
      <c r="D284" t="s">
        <v>30</v>
      </c>
      <c r="E284" t="s">
        <v>20</v>
      </c>
      <c r="F284" t="s">
        <v>21</v>
      </c>
      <c r="G284" t="s">
        <v>22</v>
      </c>
      <c r="H284">
        <v>13</v>
      </c>
      <c r="I284">
        <v>3</v>
      </c>
      <c r="J284">
        <v>1</v>
      </c>
      <c r="K284" t="s">
        <v>94</v>
      </c>
      <c r="L284" t="s">
        <v>95</v>
      </c>
      <c r="M284" t="s">
        <v>128</v>
      </c>
      <c r="N284">
        <v>8</v>
      </c>
    </row>
    <row r="285" spans="2:14" x14ac:dyDescent="0.3">
      <c r="B285">
        <v>284</v>
      </c>
      <c r="C285" t="s">
        <v>140</v>
      </c>
      <c r="D285" t="s">
        <v>19</v>
      </c>
      <c r="E285" t="s">
        <v>14</v>
      </c>
      <c r="F285" t="s">
        <v>15</v>
      </c>
      <c r="G285" t="s">
        <v>16</v>
      </c>
      <c r="H285">
        <v>100</v>
      </c>
      <c r="I285">
        <v>1</v>
      </c>
      <c r="J285">
        <v>2</v>
      </c>
      <c r="K285" t="s">
        <v>94</v>
      </c>
      <c r="L285" t="s">
        <v>95</v>
      </c>
      <c r="M285" t="s">
        <v>128</v>
      </c>
      <c r="N285">
        <v>8</v>
      </c>
    </row>
    <row r="286" spans="2:14" x14ac:dyDescent="0.3">
      <c r="B286">
        <v>285</v>
      </c>
      <c r="C286" t="s">
        <v>141</v>
      </c>
      <c r="D286" t="s">
        <v>23</v>
      </c>
      <c r="E286" t="s">
        <v>14</v>
      </c>
      <c r="F286" t="s">
        <v>15</v>
      </c>
      <c r="G286" t="s">
        <v>16</v>
      </c>
      <c r="H286">
        <v>50</v>
      </c>
      <c r="I286">
        <v>1</v>
      </c>
      <c r="J286">
        <v>0</v>
      </c>
      <c r="K286" t="s">
        <v>94</v>
      </c>
      <c r="L286" t="s">
        <v>95</v>
      </c>
      <c r="M286" t="s">
        <v>128</v>
      </c>
      <c r="N286">
        <v>8</v>
      </c>
    </row>
    <row r="287" spans="2:14" x14ac:dyDescent="0.3">
      <c r="B287">
        <v>286</v>
      </c>
      <c r="C287" t="s">
        <v>142</v>
      </c>
      <c r="D287" t="s">
        <v>23</v>
      </c>
      <c r="E287" t="s">
        <v>31</v>
      </c>
      <c r="F287" t="s">
        <v>32</v>
      </c>
      <c r="G287" t="s">
        <v>33</v>
      </c>
      <c r="H287">
        <v>50</v>
      </c>
      <c r="I287">
        <v>1</v>
      </c>
      <c r="J287">
        <v>0</v>
      </c>
      <c r="K287" t="s">
        <v>94</v>
      </c>
      <c r="L287" t="s">
        <v>95</v>
      </c>
      <c r="M287" t="s">
        <v>128</v>
      </c>
      <c r="N287">
        <v>8</v>
      </c>
    </row>
    <row r="288" spans="2:14" x14ac:dyDescent="0.3">
      <c r="B288">
        <v>287</v>
      </c>
      <c r="C288" t="s">
        <v>143</v>
      </c>
      <c r="D288" t="s">
        <v>13</v>
      </c>
      <c r="E288" t="s">
        <v>14</v>
      </c>
      <c r="F288" t="s">
        <v>15</v>
      </c>
      <c r="G288" t="s">
        <v>16</v>
      </c>
      <c r="H288">
        <v>120</v>
      </c>
      <c r="I288">
        <v>1</v>
      </c>
      <c r="J288">
        <v>0</v>
      </c>
      <c r="K288" t="s">
        <v>94</v>
      </c>
      <c r="L288" t="s">
        <v>95</v>
      </c>
      <c r="M288" t="s">
        <v>128</v>
      </c>
      <c r="N288">
        <v>8</v>
      </c>
    </row>
    <row r="289" spans="2:14" x14ac:dyDescent="0.3">
      <c r="B289">
        <v>288</v>
      </c>
      <c r="C289" t="s">
        <v>144</v>
      </c>
      <c r="D289" t="s">
        <v>30</v>
      </c>
      <c r="E289" t="s">
        <v>14</v>
      </c>
      <c r="F289" t="s">
        <v>15</v>
      </c>
      <c r="G289" t="s">
        <v>16</v>
      </c>
      <c r="H289">
        <v>30</v>
      </c>
      <c r="I289">
        <v>1</v>
      </c>
      <c r="J289">
        <v>1</v>
      </c>
      <c r="K289" t="s">
        <v>94</v>
      </c>
      <c r="L289" t="s">
        <v>95</v>
      </c>
      <c r="M289" t="s">
        <v>128</v>
      </c>
      <c r="N289">
        <v>8</v>
      </c>
    </row>
    <row r="290" spans="2:14" x14ac:dyDescent="0.3">
      <c r="B290">
        <v>289</v>
      </c>
      <c r="C290" t="s">
        <v>145</v>
      </c>
      <c r="D290" t="s">
        <v>26</v>
      </c>
      <c r="E290" t="s">
        <v>31</v>
      </c>
      <c r="F290" t="s">
        <v>32</v>
      </c>
      <c r="G290" t="s">
        <v>33</v>
      </c>
      <c r="H290">
        <v>30</v>
      </c>
      <c r="I290">
        <v>2</v>
      </c>
      <c r="J290">
        <v>1</v>
      </c>
      <c r="K290" t="s">
        <v>94</v>
      </c>
      <c r="L290" t="s">
        <v>95</v>
      </c>
      <c r="M290" t="s">
        <v>128</v>
      </c>
      <c r="N290">
        <v>8</v>
      </c>
    </row>
    <row r="291" spans="2:14" x14ac:dyDescent="0.3">
      <c r="B291">
        <v>290</v>
      </c>
      <c r="C291" t="s">
        <v>146</v>
      </c>
      <c r="D291" t="s">
        <v>30</v>
      </c>
      <c r="E291" t="s">
        <v>14</v>
      </c>
      <c r="F291" t="s">
        <v>15</v>
      </c>
      <c r="G291" t="s">
        <v>16</v>
      </c>
      <c r="H291">
        <v>29</v>
      </c>
      <c r="I291">
        <v>1</v>
      </c>
      <c r="J291">
        <v>0</v>
      </c>
      <c r="K291" t="s">
        <v>94</v>
      </c>
      <c r="L291" t="s">
        <v>95</v>
      </c>
      <c r="M291" t="s">
        <v>128</v>
      </c>
      <c r="N291">
        <v>8</v>
      </c>
    </row>
    <row r="292" spans="2:14" x14ac:dyDescent="0.3">
      <c r="B292">
        <v>291</v>
      </c>
      <c r="C292" t="s">
        <v>147</v>
      </c>
      <c r="D292" t="s">
        <v>26</v>
      </c>
      <c r="E292" t="s">
        <v>20</v>
      </c>
      <c r="F292" t="s">
        <v>21</v>
      </c>
      <c r="G292" t="s">
        <v>22</v>
      </c>
      <c r="H292">
        <v>21</v>
      </c>
      <c r="I292">
        <v>2</v>
      </c>
      <c r="J292">
        <v>1</v>
      </c>
      <c r="K292" t="s">
        <v>94</v>
      </c>
      <c r="L292" t="s">
        <v>95</v>
      </c>
      <c r="M292" t="s">
        <v>128</v>
      </c>
      <c r="N292">
        <v>8</v>
      </c>
    </row>
    <row r="293" spans="2:14" x14ac:dyDescent="0.3">
      <c r="B293">
        <v>292</v>
      </c>
      <c r="C293" t="s">
        <v>148</v>
      </c>
      <c r="D293" t="s">
        <v>13</v>
      </c>
      <c r="E293" t="s">
        <v>20</v>
      </c>
      <c r="F293" t="s">
        <v>21</v>
      </c>
      <c r="G293" t="s">
        <v>22</v>
      </c>
      <c r="H293">
        <v>120</v>
      </c>
      <c r="I293">
        <v>1</v>
      </c>
      <c r="J293">
        <v>0</v>
      </c>
      <c r="K293" t="s">
        <v>94</v>
      </c>
      <c r="L293" t="s">
        <v>95</v>
      </c>
      <c r="M293" t="s">
        <v>128</v>
      </c>
      <c r="N293">
        <v>8</v>
      </c>
    </row>
    <row r="294" spans="2:14" x14ac:dyDescent="0.3">
      <c r="B294">
        <v>293</v>
      </c>
      <c r="C294" t="s">
        <v>149</v>
      </c>
      <c r="D294" t="s">
        <v>13</v>
      </c>
      <c r="E294" t="s">
        <v>31</v>
      </c>
      <c r="F294" t="s">
        <v>32</v>
      </c>
      <c r="G294" t="s">
        <v>33</v>
      </c>
      <c r="H294">
        <v>120</v>
      </c>
      <c r="I294">
        <v>5</v>
      </c>
      <c r="J294">
        <v>0</v>
      </c>
      <c r="K294" t="s">
        <v>94</v>
      </c>
      <c r="L294" t="s">
        <v>95</v>
      </c>
      <c r="M294" t="s">
        <v>128</v>
      </c>
      <c r="N294">
        <v>8</v>
      </c>
    </row>
    <row r="295" spans="2:14" x14ac:dyDescent="0.3">
      <c r="B295">
        <v>294</v>
      </c>
      <c r="C295" t="s">
        <v>150</v>
      </c>
      <c r="D295" t="s">
        <v>26</v>
      </c>
      <c r="E295" t="s">
        <v>14</v>
      </c>
      <c r="F295" t="s">
        <v>15</v>
      </c>
      <c r="G295" t="s">
        <v>16</v>
      </c>
      <c r="H295">
        <v>30</v>
      </c>
      <c r="I295">
        <v>2</v>
      </c>
      <c r="J295">
        <v>2</v>
      </c>
      <c r="K295" t="s">
        <v>94</v>
      </c>
      <c r="L295" t="s">
        <v>95</v>
      </c>
      <c r="M295" t="s">
        <v>128</v>
      </c>
      <c r="N295">
        <v>8</v>
      </c>
    </row>
    <row r="296" spans="2:14" x14ac:dyDescent="0.3">
      <c r="B296">
        <v>295</v>
      </c>
      <c r="C296" t="s">
        <v>151</v>
      </c>
      <c r="D296" t="s">
        <v>13</v>
      </c>
      <c r="E296" t="s">
        <v>31</v>
      </c>
      <c r="F296" t="s">
        <v>32</v>
      </c>
      <c r="G296" t="s">
        <v>33</v>
      </c>
      <c r="H296">
        <v>120</v>
      </c>
      <c r="I296">
        <v>1</v>
      </c>
      <c r="J296">
        <v>0</v>
      </c>
      <c r="K296" t="s">
        <v>94</v>
      </c>
      <c r="L296" t="s">
        <v>95</v>
      </c>
      <c r="M296" t="s">
        <v>128</v>
      </c>
      <c r="N296">
        <v>8</v>
      </c>
    </row>
    <row r="297" spans="2:14" x14ac:dyDescent="0.3">
      <c r="B297">
        <v>296</v>
      </c>
      <c r="C297" t="s">
        <v>152</v>
      </c>
      <c r="D297" t="s">
        <v>26</v>
      </c>
      <c r="E297" t="s">
        <v>20</v>
      </c>
      <c r="F297" t="s">
        <v>21</v>
      </c>
      <c r="G297" t="s">
        <v>22</v>
      </c>
      <c r="H297">
        <v>30</v>
      </c>
      <c r="I297">
        <v>3</v>
      </c>
      <c r="J297">
        <v>0</v>
      </c>
      <c r="K297" t="s">
        <v>94</v>
      </c>
      <c r="L297" t="s">
        <v>95</v>
      </c>
      <c r="M297" t="s">
        <v>128</v>
      </c>
      <c r="N297">
        <v>8</v>
      </c>
    </row>
    <row r="298" spans="2:14" x14ac:dyDescent="0.3">
      <c r="B298">
        <v>297</v>
      </c>
      <c r="C298" t="s">
        <v>153</v>
      </c>
      <c r="D298" t="s">
        <v>26</v>
      </c>
      <c r="E298" t="s">
        <v>31</v>
      </c>
      <c r="F298" t="s">
        <v>32</v>
      </c>
      <c r="G298" t="s">
        <v>33</v>
      </c>
      <c r="H298">
        <v>30</v>
      </c>
      <c r="I298">
        <v>1</v>
      </c>
      <c r="J298">
        <v>2</v>
      </c>
      <c r="K298" t="s">
        <v>94</v>
      </c>
      <c r="L298" t="s">
        <v>95</v>
      </c>
      <c r="M298" t="s">
        <v>128</v>
      </c>
      <c r="N298">
        <v>8</v>
      </c>
    </row>
    <row r="299" spans="2:14" x14ac:dyDescent="0.3">
      <c r="B299">
        <v>298</v>
      </c>
      <c r="C299" t="s">
        <v>154</v>
      </c>
      <c r="D299" t="s">
        <v>19</v>
      </c>
      <c r="E299" t="s">
        <v>14</v>
      </c>
      <c r="F299" t="s">
        <v>15</v>
      </c>
      <c r="G299" t="s">
        <v>16</v>
      </c>
      <c r="H299">
        <v>101</v>
      </c>
      <c r="I299">
        <v>2</v>
      </c>
      <c r="J299">
        <v>0</v>
      </c>
      <c r="K299" t="s">
        <v>94</v>
      </c>
      <c r="L299" t="s">
        <v>95</v>
      </c>
      <c r="M299" t="s">
        <v>128</v>
      </c>
      <c r="N299">
        <v>8</v>
      </c>
    </row>
    <row r="300" spans="2:14" x14ac:dyDescent="0.3">
      <c r="B300">
        <v>299</v>
      </c>
      <c r="C300" t="s">
        <v>155</v>
      </c>
      <c r="D300" t="s">
        <v>13</v>
      </c>
      <c r="E300" t="s">
        <v>14</v>
      </c>
      <c r="F300" t="s">
        <v>15</v>
      </c>
      <c r="G300" t="s">
        <v>16</v>
      </c>
      <c r="H300">
        <v>120</v>
      </c>
      <c r="I300">
        <v>1</v>
      </c>
      <c r="J300">
        <v>0</v>
      </c>
      <c r="K300" t="s">
        <v>94</v>
      </c>
      <c r="L300" t="s">
        <v>95</v>
      </c>
      <c r="M300" t="s">
        <v>128</v>
      </c>
      <c r="N300">
        <v>8</v>
      </c>
    </row>
    <row r="301" spans="2:14" x14ac:dyDescent="0.3">
      <c r="B301">
        <v>300</v>
      </c>
      <c r="C301" t="s">
        <v>156</v>
      </c>
      <c r="D301" t="s">
        <v>30</v>
      </c>
      <c r="E301" t="s">
        <v>31</v>
      </c>
      <c r="F301" t="s">
        <v>32</v>
      </c>
      <c r="G301" t="s">
        <v>33</v>
      </c>
      <c r="H301">
        <v>21</v>
      </c>
      <c r="I301">
        <v>1</v>
      </c>
      <c r="J301">
        <v>2</v>
      </c>
      <c r="K301" t="s">
        <v>94</v>
      </c>
      <c r="L301" t="s">
        <v>95</v>
      </c>
      <c r="M301" t="s">
        <v>128</v>
      </c>
      <c r="N301">
        <v>8</v>
      </c>
    </row>
    <row r="302" spans="2:14" x14ac:dyDescent="0.3">
      <c r="B302">
        <v>301</v>
      </c>
      <c r="C302" t="s">
        <v>157</v>
      </c>
      <c r="D302" t="s">
        <v>19</v>
      </c>
      <c r="E302" t="s">
        <v>14</v>
      </c>
      <c r="F302" t="s">
        <v>15</v>
      </c>
      <c r="G302" t="s">
        <v>16</v>
      </c>
      <c r="H302">
        <v>101</v>
      </c>
      <c r="I302">
        <v>2</v>
      </c>
      <c r="J302">
        <v>2</v>
      </c>
      <c r="K302" t="s">
        <v>94</v>
      </c>
      <c r="L302" t="s">
        <v>95</v>
      </c>
      <c r="M302" t="s">
        <v>128</v>
      </c>
      <c r="N302">
        <v>8</v>
      </c>
    </row>
    <row r="303" spans="2:14" x14ac:dyDescent="0.3">
      <c r="B303">
        <v>302</v>
      </c>
      <c r="C303" t="s">
        <v>158</v>
      </c>
      <c r="D303" t="s">
        <v>19</v>
      </c>
      <c r="E303" t="s">
        <v>31</v>
      </c>
      <c r="F303" t="s">
        <v>32</v>
      </c>
      <c r="G303" t="s">
        <v>33</v>
      </c>
      <c r="H303">
        <v>89</v>
      </c>
      <c r="I303">
        <v>1</v>
      </c>
      <c r="J303">
        <v>2</v>
      </c>
      <c r="K303" t="s">
        <v>94</v>
      </c>
      <c r="L303" t="s">
        <v>95</v>
      </c>
      <c r="M303" t="s">
        <v>128</v>
      </c>
      <c r="N303">
        <v>8</v>
      </c>
    </row>
    <row r="304" spans="2:14" x14ac:dyDescent="0.3">
      <c r="B304">
        <v>303</v>
      </c>
      <c r="C304" t="s">
        <v>159</v>
      </c>
      <c r="D304" t="s">
        <v>23</v>
      </c>
      <c r="E304" t="s">
        <v>31</v>
      </c>
      <c r="F304" t="s">
        <v>32</v>
      </c>
      <c r="G304" t="s">
        <v>33</v>
      </c>
      <c r="H304">
        <v>45</v>
      </c>
      <c r="I304">
        <v>2</v>
      </c>
      <c r="J304">
        <v>1</v>
      </c>
      <c r="K304" t="s">
        <v>94</v>
      </c>
      <c r="L304" t="s">
        <v>95</v>
      </c>
      <c r="M304" t="s">
        <v>160</v>
      </c>
      <c r="N304">
        <v>9</v>
      </c>
    </row>
    <row r="305" spans="2:14" x14ac:dyDescent="0.3">
      <c r="B305">
        <v>304</v>
      </c>
      <c r="C305" t="s">
        <v>161</v>
      </c>
      <c r="D305" t="s">
        <v>26</v>
      </c>
      <c r="E305" t="s">
        <v>20</v>
      </c>
      <c r="F305" t="s">
        <v>21</v>
      </c>
      <c r="G305" t="s">
        <v>22</v>
      </c>
      <c r="H305">
        <v>30</v>
      </c>
      <c r="I305">
        <v>1</v>
      </c>
      <c r="J305">
        <v>1</v>
      </c>
      <c r="K305" t="s">
        <v>94</v>
      </c>
      <c r="L305" t="s">
        <v>95</v>
      </c>
      <c r="M305" t="s">
        <v>160</v>
      </c>
      <c r="N305">
        <v>9</v>
      </c>
    </row>
    <row r="306" spans="2:14" x14ac:dyDescent="0.3">
      <c r="B306">
        <v>305</v>
      </c>
      <c r="C306" t="s">
        <v>162</v>
      </c>
      <c r="D306" t="s">
        <v>23</v>
      </c>
      <c r="E306" t="s">
        <v>20</v>
      </c>
      <c r="F306" t="s">
        <v>21</v>
      </c>
      <c r="G306" t="s">
        <v>22</v>
      </c>
      <c r="H306">
        <v>50</v>
      </c>
      <c r="I306">
        <v>3</v>
      </c>
      <c r="J306">
        <v>1</v>
      </c>
      <c r="K306" t="s">
        <v>94</v>
      </c>
      <c r="L306" t="s">
        <v>95</v>
      </c>
      <c r="M306" t="s">
        <v>160</v>
      </c>
      <c r="N306">
        <v>9</v>
      </c>
    </row>
    <row r="307" spans="2:14" x14ac:dyDescent="0.3">
      <c r="B307">
        <v>306</v>
      </c>
      <c r="C307" t="s">
        <v>163</v>
      </c>
      <c r="D307" t="s">
        <v>30</v>
      </c>
      <c r="E307" t="s">
        <v>20</v>
      </c>
      <c r="F307" t="s">
        <v>21</v>
      </c>
      <c r="G307" t="s">
        <v>22</v>
      </c>
      <c r="H307">
        <v>30</v>
      </c>
      <c r="I307">
        <v>2</v>
      </c>
      <c r="J307">
        <v>0</v>
      </c>
      <c r="K307" t="s">
        <v>94</v>
      </c>
      <c r="L307" t="s">
        <v>95</v>
      </c>
      <c r="M307" t="s">
        <v>160</v>
      </c>
      <c r="N307">
        <v>9</v>
      </c>
    </row>
    <row r="308" spans="2:14" x14ac:dyDescent="0.3">
      <c r="B308">
        <v>307</v>
      </c>
      <c r="C308" t="s">
        <v>164</v>
      </c>
      <c r="D308" t="s">
        <v>13</v>
      </c>
      <c r="E308" t="s">
        <v>14</v>
      </c>
      <c r="F308" t="s">
        <v>15</v>
      </c>
      <c r="G308" t="s">
        <v>16</v>
      </c>
      <c r="H308">
        <v>120</v>
      </c>
      <c r="I308">
        <v>1</v>
      </c>
      <c r="J308">
        <v>0</v>
      </c>
      <c r="K308" t="s">
        <v>94</v>
      </c>
      <c r="L308" t="s">
        <v>95</v>
      </c>
      <c r="M308" t="s">
        <v>160</v>
      </c>
      <c r="N308">
        <v>9</v>
      </c>
    </row>
    <row r="309" spans="2:14" x14ac:dyDescent="0.3">
      <c r="B309">
        <v>308</v>
      </c>
      <c r="C309" t="s">
        <v>165</v>
      </c>
      <c r="D309" t="s">
        <v>30</v>
      </c>
      <c r="E309" t="s">
        <v>20</v>
      </c>
      <c r="F309" t="s">
        <v>21</v>
      </c>
      <c r="G309" t="s">
        <v>22</v>
      </c>
      <c r="H309">
        <v>30</v>
      </c>
      <c r="I309">
        <v>1</v>
      </c>
      <c r="J309">
        <v>0</v>
      </c>
      <c r="K309" t="s">
        <v>94</v>
      </c>
      <c r="L309" t="s">
        <v>95</v>
      </c>
      <c r="M309" t="s">
        <v>160</v>
      </c>
      <c r="N309">
        <v>9</v>
      </c>
    </row>
    <row r="310" spans="2:14" x14ac:dyDescent="0.3">
      <c r="B310">
        <v>309</v>
      </c>
      <c r="C310" t="s">
        <v>166</v>
      </c>
      <c r="D310" t="s">
        <v>30</v>
      </c>
      <c r="E310" t="s">
        <v>14</v>
      </c>
      <c r="F310" t="s">
        <v>15</v>
      </c>
      <c r="G310" t="s">
        <v>16</v>
      </c>
      <c r="H310">
        <v>30</v>
      </c>
      <c r="I310">
        <v>1</v>
      </c>
      <c r="J310">
        <v>0</v>
      </c>
      <c r="K310" t="s">
        <v>94</v>
      </c>
      <c r="L310" t="s">
        <v>95</v>
      </c>
      <c r="M310" t="s">
        <v>160</v>
      </c>
      <c r="N310">
        <v>9</v>
      </c>
    </row>
    <row r="311" spans="2:14" x14ac:dyDescent="0.3">
      <c r="B311">
        <v>310</v>
      </c>
      <c r="C311" t="s">
        <v>167</v>
      </c>
      <c r="D311" t="s">
        <v>23</v>
      </c>
      <c r="E311" t="s">
        <v>14</v>
      </c>
      <c r="F311" t="s">
        <v>15</v>
      </c>
      <c r="G311" t="s">
        <v>16</v>
      </c>
      <c r="H311">
        <v>50</v>
      </c>
      <c r="I311">
        <v>4</v>
      </c>
      <c r="J311">
        <v>1</v>
      </c>
      <c r="K311" t="s">
        <v>94</v>
      </c>
      <c r="L311" t="s">
        <v>95</v>
      </c>
      <c r="M311" t="s">
        <v>160</v>
      </c>
      <c r="N311">
        <v>9</v>
      </c>
    </row>
    <row r="312" spans="2:14" x14ac:dyDescent="0.3">
      <c r="B312">
        <v>311</v>
      </c>
      <c r="C312" t="s">
        <v>168</v>
      </c>
      <c r="D312" t="s">
        <v>23</v>
      </c>
      <c r="E312" t="s">
        <v>20</v>
      </c>
      <c r="F312" t="s">
        <v>21</v>
      </c>
      <c r="G312" t="s">
        <v>22</v>
      </c>
      <c r="H312">
        <v>44</v>
      </c>
      <c r="I312">
        <v>1</v>
      </c>
      <c r="J312">
        <v>0</v>
      </c>
      <c r="K312" t="s">
        <v>94</v>
      </c>
      <c r="L312" t="s">
        <v>95</v>
      </c>
      <c r="M312" t="s">
        <v>160</v>
      </c>
      <c r="N312">
        <v>9</v>
      </c>
    </row>
    <row r="313" spans="2:14" x14ac:dyDescent="0.3">
      <c r="B313">
        <v>312</v>
      </c>
      <c r="C313" t="s">
        <v>169</v>
      </c>
      <c r="D313" t="s">
        <v>26</v>
      </c>
      <c r="E313" t="s">
        <v>20</v>
      </c>
      <c r="F313" t="s">
        <v>21</v>
      </c>
      <c r="G313" t="s">
        <v>22</v>
      </c>
      <c r="H313">
        <v>30</v>
      </c>
      <c r="I313">
        <v>1</v>
      </c>
      <c r="J313">
        <v>1</v>
      </c>
      <c r="K313" t="s">
        <v>94</v>
      </c>
      <c r="L313" t="s">
        <v>95</v>
      </c>
      <c r="M313" t="s">
        <v>160</v>
      </c>
      <c r="N313">
        <v>9</v>
      </c>
    </row>
    <row r="314" spans="2:14" x14ac:dyDescent="0.3">
      <c r="B314">
        <v>313</v>
      </c>
      <c r="C314" t="s">
        <v>170</v>
      </c>
      <c r="D314" t="s">
        <v>23</v>
      </c>
      <c r="E314" t="s">
        <v>31</v>
      </c>
      <c r="F314" t="s">
        <v>32</v>
      </c>
      <c r="G314" t="s">
        <v>33</v>
      </c>
      <c r="H314">
        <v>50</v>
      </c>
      <c r="I314">
        <v>2</v>
      </c>
      <c r="J314">
        <v>2</v>
      </c>
      <c r="K314" t="s">
        <v>94</v>
      </c>
      <c r="L314" t="s">
        <v>95</v>
      </c>
      <c r="M314" t="s">
        <v>160</v>
      </c>
      <c r="N314">
        <v>9</v>
      </c>
    </row>
    <row r="315" spans="2:14" x14ac:dyDescent="0.3">
      <c r="B315">
        <v>314</v>
      </c>
      <c r="C315" t="s">
        <v>171</v>
      </c>
      <c r="D315" t="s">
        <v>19</v>
      </c>
      <c r="E315" t="s">
        <v>14</v>
      </c>
      <c r="F315" t="s">
        <v>15</v>
      </c>
      <c r="G315" t="s">
        <v>16</v>
      </c>
      <c r="H315">
        <v>90</v>
      </c>
      <c r="I315">
        <v>2</v>
      </c>
      <c r="J315">
        <v>1</v>
      </c>
      <c r="K315" t="s">
        <v>94</v>
      </c>
      <c r="L315" t="s">
        <v>95</v>
      </c>
      <c r="M315" t="s">
        <v>160</v>
      </c>
      <c r="N315">
        <v>9</v>
      </c>
    </row>
    <row r="316" spans="2:14" x14ac:dyDescent="0.3">
      <c r="B316">
        <v>315</v>
      </c>
      <c r="C316" t="s">
        <v>172</v>
      </c>
      <c r="D316" t="s">
        <v>19</v>
      </c>
      <c r="E316" t="s">
        <v>14</v>
      </c>
      <c r="F316" t="s">
        <v>15</v>
      </c>
      <c r="G316" t="s">
        <v>16</v>
      </c>
      <c r="H316">
        <v>102</v>
      </c>
      <c r="I316">
        <v>1</v>
      </c>
      <c r="J316">
        <v>2</v>
      </c>
      <c r="K316" t="s">
        <v>94</v>
      </c>
      <c r="L316" t="s">
        <v>95</v>
      </c>
      <c r="M316" t="s">
        <v>160</v>
      </c>
      <c r="N316">
        <v>9</v>
      </c>
    </row>
    <row r="317" spans="2:14" x14ac:dyDescent="0.3">
      <c r="B317">
        <v>316</v>
      </c>
      <c r="C317" t="s">
        <v>173</v>
      </c>
      <c r="D317" t="s">
        <v>13</v>
      </c>
      <c r="E317" t="s">
        <v>14</v>
      </c>
      <c r="F317" t="s">
        <v>15</v>
      </c>
      <c r="G317" t="s">
        <v>16</v>
      </c>
      <c r="H317">
        <v>120</v>
      </c>
      <c r="I317">
        <v>2</v>
      </c>
      <c r="J317">
        <v>1</v>
      </c>
      <c r="K317" t="s">
        <v>94</v>
      </c>
      <c r="L317" t="s">
        <v>95</v>
      </c>
      <c r="M317" t="s">
        <v>160</v>
      </c>
      <c r="N317">
        <v>9</v>
      </c>
    </row>
    <row r="318" spans="2:14" x14ac:dyDescent="0.3">
      <c r="B318">
        <v>317</v>
      </c>
      <c r="C318" t="s">
        <v>174</v>
      </c>
      <c r="D318" t="s">
        <v>13</v>
      </c>
      <c r="E318" t="s">
        <v>20</v>
      </c>
      <c r="F318" t="s">
        <v>21</v>
      </c>
      <c r="G318" t="s">
        <v>22</v>
      </c>
      <c r="H318">
        <v>120</v>
      </c>
      <c r="I318">
        <v>1</v>
      </c>
      <c r="J318">
        <v>1</v>
      </c>
      <c r="K318" t="s">
        <v>94</v>
      </c>
      <c r="L318" t="s">
        <v>95</v>
      </c>
      <c r="M318" t="s">
        <v>160</v>
      </c>
      <c r="N318">
        <v>9</v>
      </c>
    </row>
    <row r="319" spans="2:14" x14ac:dyDescent="0.3">
      <c r="B319">
        <v>318</v>
      </c>
      <c r="C319" t="s">
        <v>175</v>
      </c>
      <c r="D319" t="s">
        <v>19</v>
      </c>
      <c r="E319" t="s">
        <v>20</v>
      </c>
      <c r="F319" t="s">
        <v>21</v>
      </c>
      <c r="G319" t="s">
        <v>22</v>
      </c>
      <c r="H319">
        <v>90</v>
      </c>
      <c r="I319">
        <v>1</v>
      </c>
      <c r="J319">
        <v>2</v>
      </c>
      <c r="K319" t="s">
        <v>94</v>
      </c>
      <c r="L319" t="s">
        <v>95</v>
      </c>
      <c r="M319" t="s">
        <v>160</v>
      </c>
      <c r="N319">
        <v>9</v>
      </c>
    </row>
    <row r="320" spans="2:14" x14ac:dyDescent="0.3">
      <c r="B320">
        <v>319</v>
      </c>
      <c r="C320" t="s">
        <v>176</v>
      </c>
      <c r="D320" t="s">
        <v>30</v>
      </c>
      <c r="E320" t="s">
        <v>20</v>
      </c>
      <c r="F320" t="s">
        <v>21</v>
      </c>
      <c r="G320" t="s">
        <v>22</v>
      </c>
      <c r="H320">
        <v>17</v>
      </c>
      <c r="I320">
        <v>1</v>
      </c>
      <c r="J320">
        <v>0</v>
      </c>
      <c r="K320" t="s">
        <v>94</v>
      </c>
      <c r="L320" t="s">
        <v>95</v>
      </c>
      <c r="M320" t="s">
        <v>160</v>
      </c>
      <c r="N320">
        <v>9</v>
      </c>
    </row>
    <row r="321" spans="2:14" x14ac:dyDescent="0.3">
      <c r="B321">
        <v>320</v>
      </c>
      <c r="C321" t="s">
        <v>177</v>
      </c>
      <c r="D321" t="s">
        <v>13</v>
      </c>
      <c r="E321" t="s">
        <v>31</v>
      </c>
      <c r="F321" t="s">
        <v>32</v>
      </c>
      <c r="G321" t="s">
        <v>33</v>
      </c>
      <c r="H321">
        <v>120</v>
      </c>
      <c r="I321">
        <v>1</v>
      </c>
      <c r="J321">
        <v>3</v>
      </c>
      <c r="K321" t="s">
        <v>94</v>
      </c>
      <c r="L321" t="s">
        <v>95</v>
      </c>
      <c r="M321" t="s">
        <v>160</v>
      </c>
      <c r="N321">
        <v>9</v>
      </c>
    </row>
    <row r="322" spans="2:14" x14ac:dyDescent="0.3">
      <c r="B322">
        <v>321</v>
      </c>
      <c r="C322" t="s">
        <v>178</v>
      </c>
      <c r="D322" t="s">
        <v>19</v>
      </c>
      <c r="E322" t="s">
        <v>20</v>
      </c>
      <c r="F322" t="s">
        <v>21</v>
      </c>
      <c r="G322" t="s">
        <v>22</v>
      </c>
      <c r="H322">
        <v>102</v>
      </c>
      <c r="I322">
        <v>1</v>
      </c>
      <c r="J322">
        <v>0</v>
      </c>
      <c r="K322" t="s">
        <v>94</v>
      </c>
      <c r="L322" t="s">
        <v>95</v>
      </c>
      <c r="M322" t="s">
        <v>160</v>
      </c>
      <c r="N322">
        <v>9</v>
      </c>
    </row>
    <row r="323" spans="2:14" x14ac:dyDescent="0.3">
      <c r="B323">
        <v>322</v>
      </c>
      <c r="C323" t="s">
        <v>179</v>
      </c>
      <c r="D323" t="s">
        <v>23</v>
      </c>
      <c r="E323" t="s">
        <v>14</v>
      </c>
      <c r="F323" t="s">
        <v>15</v>
      </c>
      <c r="G323" t="s">
        <v>16</v>
      </c>
      <c r="H323">
        <v>44</v>
      </c>
      <c r="I323">
        <v>1</v>
      </c>
      <c r="J323">
        <v>0</v>
      </c>
      <c r="K323" t="s">
        <v>94</v>
      </c>
      <c r="L323" t="s">
        <v>95</v>
      </c>
      <c r="M323" t="s">
        <v>160</v>
      </c>
      <c r="N323">
        <v>9</v>
      </c>
    </row>
    <row r="324" spans="2:14" x14ac:dyDescent="0.3">
      <c r="B324">
        <v>323</v>
      </c>
      <c r="C324" t="s">
        <v>180</v>
      </c>
      <c r="D324" t="s">
        <v>26</v>
      </c>
      <c r="E324" t="s">
        <v>14</v>
      </c>
      <c r="F324" t="s">
        <v>15</v>
      </c>
      <c r="G324" t="s">
        <v>16</v>
      </c>
      <c r="H324">
        <v>25</v>
      </c>
      <c r="I324">
        <v>1</v>
      </c>
      <c r="J324">
        <v>3</v>
      </c>
      <c r="K324" t="s">
        <v>94</v>
      </c>
      <c r="L324" t="s">
        <v>95</v>
      </c>
      <c r="M324" t="s">
        <v>160</v>
      </c>
      <c r="N324">
        <v>9</v>
      </c>
    </row>
    <row r="325" spans="2:14" x14ac:dyDescent="0.3">
      <c r="B325">
        <v>324</v>
      </c>
      <c r="C325" t="s">
        <v>181</v>
      </c>
      <c r="D325" t="s">
        <v>23</v>
      </c>
      <c r="E325" t="s">
        <v>14</v>
      </c>
      <c r="F325" t="s">
        <v>15</v>
      </c>
      <c r="G325" t="s">
        <v>16</v>
      </c>
      <c r="H325">
        <v>33</v>
      </c>
      <c r="I325">
        <v>1</v>
      </c>
      <c r="J325">
        <v>0</v>
      </c>
      <c r="K325" t="s">
        <v>94</v>
      </c>
      <c r="L325" t="s">
        <v>95</v>
      </c>
      <c r="M325" t="s">
        <v>160</v>
      </c>
      <c r="N325">
        <v>9</v>
      </c>
    </row>
    <row r="326" spans="2:14" x14ac:dyDescent="0.3">
      <c r="B326">
        <v>325</v>
      </c>
      <c r="C326" t="s">
        <v>182</v>
      </c>
      <c r="D326" t="s">
        <v>13</v>
      </c>
      <c r="E326" t="s">
        <v>14</v>
      </c>
      <c r="F326" t="s">
        <v>15</v>
      </c>
      <c r="G326" t="s">
        <v>16</v>
      </c>
      <c r="H326">
        <v>120</v>
      </c>
      <c r="I326">
        <v>3</v>
      </c>
      <c r="J326">
        <v>0</v>
      </c>
      <c r="K326" t="s">
        <v>94</v>
      </c>
      <c r="L326" t="s">
        <v>95</v>
      </c>
      <c r="M326" t="s">
        <v>160</v>
      </c>
      <c r="N326">
        <v>9</v>
      </c>
    </row>
    <row r="327" spans="2:14" x14ac:dyDescent="0.3">
      <c r="B327">
        <v>326</v>
      </c>
      <c r="C327" t="s">
        <v>183</v>
      </c>
      <c r="D327" t="s">
        <v>26</v>
      </c>
      <c r="E327" t="s">
        <v>14</v>
      </c>
      <c r="F327" t="s">
        <v>15</v>
      </c>
      <c r="G327" t="s">
        <v>16</v>
      </c>
      <c r="H327">
        <v>30</v>
      </c>
      <c r="I327">
        <v>4</v>
      </c>
      <c r="J327">
        <v>3</v>
      </c>
      <c r="K327" t="s">
        <v>94</v>
      </c>
      <c r="L327" t="s">
        <v>95</v>
      </c>
      <c r="M327" t="s">
        <v>160</v>
      </c>
      <c r="N327">
        <v>9</v>
      </c>
    </row>
    <row r="328" spans="2:14" x14ac:dyDescent="0.3">
      <c r="B328">
        <v>327</v>
      </c>
      <c r="C328" t="s">
        <v>184</v>
      </c>
      <c r="D328" t="s">
        <v>30</v>
      </c>
      <c r="E328" t="s">
        <v>31</v>
      </c>
      <c r="F328" t="s">
        <v>32</v>
      </c>
      <c r="G328" t="s">
        <v>33</v>
      </c>
      <c r="H328">
        <v>17</v>
      </c>
      <c r="I328">
        <v>1</v>
      </c>
      <c r="J328">
        <v>1</v>
      </c>
      <c r="K328" t="s">
        <v>94</v>
      </c>
      <c r="L328" t="s">
        <v>95</v>
      </c>
      <c r="M328" t="s">
        <v>160</v>
      </c>
      <c r="N328">
        <v>9</v>
      </c>
    </row>
    <row r="329" spans="2:14" x14ac:dyDescent="0.3">
      <c r="B329">
        <v>328</v>
      </c>
      <c r="C329" t="s">
        <v>185</v>
      </c>
      <c r="D329" t="s">
        <v>13</v>
      </c>
      <c r="E329" t="s">
        <v>14</v>
      </c>
      <c r="F329" t="s">
        <v>15</v>
      </c>
      <c r="G329" t="s">
        <v>16</v>
      </c>
      <c r="H329">
        <v>120</v>
      </c>
      <c r="I329">
        <v>1</v>
      </c>
      <c r="J329">
        <v>2</v>
      </c>
      <c r="K329" t="s">
        <v>94</v>
      </c>
      <c r="L329" t="s">
        <v>95</v>
      </c>
      <c r="M329" t="s">
        <v>160</v>
      </c>
      <c r="N329">
        <v>9</v>
      </c>
    </row>
    <row r="330" spans="2:14" x14ac:dyDescent="0.3">
      <c r="B330">
        <v>329</v>
      </c>
      <c r="C330" t="s">
        <v>186</v>
      </c>
      <c r="D330" t="s">
        <v>19</v>
      </c>
      <c r="E330" t="s">
        <v>31</v>
      </c>
      <c r="F330" t="s">
        <v>32</v>
      </c>
      <c r="G330" t="s">
        <v>33</v>
      </c>
      <c r="H330">
        <v>100</v>
      </c>
      <c r="I330">
        <v>1</v>
      </c>
      <c r="J330">
        <v>0</v>
      </c>
      <c r="K330" t="s">
        <v>94</v>
      </c>
      <c r="L330" t="s">
        <v>95</v>
      </c>
      <c r="M330" t="s">
        <v>160</v>
      </c>
      <c r="N330">
        <v>9</v>
      </c>
    </row>
    <row r="331" spans="2:14" x14ac:dyDescent="0.3">
      <c r="B331">
        <v>330</v>
      </c>
      <c r="C331" t="s">
        <v>187</v>
      </c>
      <c r="D331" t="s">
        <v>30</v>
      </c>
      <c r="E331" t="s">
        <v>20</v>
      </c>
      <c r="F331" t="s">
        <v>21</v>
      </c>
      <c r="G331" t="s">
        <v>22</v>
      </c>
      <c r="H331">
        <v>21</v>
      </c>
      <c r="I331">
        <v>1</v>
      </c>
      <c r="J331">
        <v>0</v>
      </c>
      <c r="K331" t="s">
        <v>94</v>
      </c>
      <c r="L331" t="s">
        <v>95</v>
      </c>
      <c r="M331" t="s">
        <v>160</v>
      </c>
      <c r="N331">
        <v>9</v>
      </c>
    </row>
    <row r="332" spans="2:14" x14ac:dyDescent="0.3">
      <c r="B332">
        <v>331</v>
      </c>
      <c r="C332" t="s">
        <v>188</v>
      </c>
      <c r="D332" t="s">
        <v>26</v>
      </c>
      <c r="E332" t="s">
        <v>14</v>
      </c>
      <c r="F332" t="s">
        <v>15</v>
      </c>
      <c r="G332" t="s">
        <v>16</v>
      </c>
      <c r="H332">
        <v>30</v>
      </c>
      <c r="I332">
        <v>1</v>
      </c>
      <c r="J332">
        <v>0</v>
      </c>
      <c r="K332" t="s">
        <v>94</v>
      </c>
      <c r="L332" t="s">
        <v>95</v>
      </c>
      <c r="M332" t="s">
        <v>160</v>
      </c>
      <c r="N332">
        <v>9</v>
      </c>
    </row>
    <row r="333" spans="2:14" x14ac:dyDescent="0.3">
      <c r="B333">
        <v>332</v>
      </c>
      <c r="C333" t="s">
        <v>189</v>
      </c>
      <c r="D333" t="s">
        <v>30</v>
      </c>
      <c r="E333" t="s">
        <v>20</v>
      </c>
      <c r="F333" t="s">
        <v>21</v>
      </c>
      <c r="G333" t="s">
        <v>22</v>
      </c>
      <c r="H333">
        <v>20</v>
      </c>
      <c r="I333">
        <v>3</v>
      </c>
      <c r="J333">
        <v>2</v>
      </c>
      <c r="K333" t="s">
        <v>94</v>
      </c>
      <c r="L333" t="s">
        <v>95</v>
      </c>
      <c r="M333" t="s">
        <v>160</v>
      </c>
      <c r="N333">
        <v>9</v>
      </c>
    </row>
    <row r="334" spans="2:14" x14ac:dyDescent="0.3">
      <c r="B334">
        <v>333</v>
      </c>
      <c r="C334" t="s">
        <v>190</v>
      </c>
      <c r="D334" t="s">
        <v>13</v>
      </c>
      <c r="E334" t="s">
        <v>14</v>
      </c>
      <c r="F334" t="s">
        <v>15</v>
      </c>
      <c r="G334" t="s">
        <v>16</v>
      </c>
      <c r="H334">
        <v>109</v>
      </c>
      <c r="I334">
        <v>2</v>
      </c>
      <c r="J334">
        <v>0</v>
      </c>
      <c r="K334" t="s">
        <v>94</v>
      </c>
      <c r="L334" t="s">
        <v>191</v>
      </c>
      <c r="M334" t="s">
        <v>192</v>
      </c>
      <c r="N334">
        <v>10</v>
      </c>
    </row>
    <row r="335" spans="2:14" x14ac:dyDescent="0.3">
      <c r="B335">
        <v>334</v>
      </c>
      <c r="C335" t="s">
        <v>193</v>
      </c>
      <c r="D335" t="s">
        <v>23</v>
      </c>
      <c r="E335" t="s">
        <v>31</v>
      </c>
      <c r="F335" t="s">
        <v>32</v>
      </c>
      <c r="G335" t="s">
        <v>33</v>
      </c>
      <c r="H335">
        <v>50</v>
      </c>
      <c r="I335">
        <v>1</v>
      </c>
      <c r="J335">
        <v>2</v>
      </c>
      <c r="K335" t="s">
        <v>94</v>
      </c>
      <c r="L335" t="s">
        <v>191</v>
      </c>
      <c r="M335" t="s">
        <v>192</v>
      </c>
      <c r="N335">
        <v>10</v>
      </c>
    </row>
    <row r="336" spans="2:14" x14ac:dyDescent="0.3">
      <c r="B336">
        <v>335</v>
      </c>
      <c r="C336" t="s">
        <v>194</v>
      </c>
      <c r="D336" t="s">
        <v>23</v>
      </c>
      <c r="E336" t="s">
        <v>14</v>
      </c>
      <c r="F336" t="s">
        <v>15</v>
      </c>
      <c r="G336" t="s">
        <v>16</v>
      </c>
      <c r="H336">
        <v>45</v>
      </c>
      <c r="I336">
        <v>1</v>
      </c>
      <c r="J336">
        <v>0</v>
      </c>
      <c r="K336" t="s">
        <v>94</v>
      </c>
      <c r="L336" t="s">
        <v>191</v>
      </c>
      <c r="M336" t="s">
        <v>192</v>
      </c>
      <c r="N336">
        <v>10</v>
      </c>
    </row>
    <row r="337" spans="2:14" x14ac:dyDescent="0.3">
      <c r="B337">
        <v>336</v>
      </c>
      <c r="C337" t="s">
        <v>195</v>
      </c>
      <c r="D337" t="s">
        <v>26</v>
      </c>
      <c r="E337" t="s">
        <v>14</v>
      </c>
      <c r="F337" t="s">
        <v>15</v>
      </c>
      <c r="G337" t="s">
        <v>16</v>
      </c>
      <c r="H337">
        <v>25</v>
      </c>
      <c r="I337">
        <v>2</v>
      </c>
      <c r="J337">
        <v>0</v>
      </c>
      <c r="K337" t="s">
        <v>94</v>
      </c>
      <c r="L337" t="s">
        <v>191</v>
      </c>
      <c r="M337" t="s">
        <v>192</v>
      </c>
      <c r="N337">
        <v>10</v>
      </c>
    </row>
    <row r="338" spans="2:14" x14ac:dyDescent="0.3">
      <c r="B338">
        <v>337</v>
      </c>
      <c r="C338" t="s">
        <v>196</v>
      </c>
      <c r="D338" t="s">
        <v>13</v>
      </c>
      <c r="E338" t="s">
        <v>14</v>
      </c>
      <c r="F338" t="s">
        <v>15</v>
      </c>
      <c r="G338" t="s">
        <v>16</v>
      </c>
      <c r="H338">
        <v>110</v>
      </c>
      <c r="I338">
        <v>1</v>
      </c>
      <c r="J338">
        <v>0</v>
      </c>
      <c r="K338" t="s">
        <v>94</v>
      </c>
      <c r="L338" t="s">
        <v>191</v>
      </c>
      <c r="M338" t="s">
        <v>192</v>
      </c>
      <c r="N338">
        <v>10</v>
      </c>
    </row>
    <row r="339" spans="2:14" x14ac:dyDescent="0.3">
      <c r="B339">
        <v>338</v>
      </c>
      <c r="C339" t="s">
        <v>197</v>
      </c>
      <c r="D339" t="s">
        <v>30</v>
      </c>
      <c r="E339" t="s">
        <v>14</v>
      </c>
      <c r="F339" t="s">
        <v>15</v>
      </c>
      <c r="G339" t="s">
        <v>16</v>
      </c>
      <c r="H339">
        <v>30</v>
      </c>
      <c r="I339">
        <v>1</v>
      </c>
      <c r="J339">
        <v>2</v>
      </c>
      <c r="K339" t="s">
        <v>94</v>
      </c>
      <c r="L339" t="s">
        <v>191</v>
      </c>
      <c r="M339" t="s">
        <v>192</v>
      </c>
      <c r="N339">
        <v>10</v>
      </c>
    </row>
    <row r="340" spans="2:14" x14ac:dyDescent="0.3">
      <c r="B340">
        <v>339</v>
      </c>
      <c r="C340" t="s">
        <v>198</v>
      </c>
      <c r="D340" t="s">
        <v>23</v>
      </c>
      <c r="E340" t="s">
        <v>14</v>
      </c>
      <c r="F340" t="s">
        <v>15</v>
      </c>
      <c r="G340" t="s">
        <v>16</v>
      </c>
      <c r="H340">
        <v>50</v>
      </c>
      <c r="I340">
        <v>5</v>
      </c>
      <c r="J340">
        <v>0</v>
      </c>
      <c r="K340" t="s">
        <v>94</v>
      </c>
      <c r="L340" t="s">
        <v>191</v>
      </c>
      <c r="M340" t="s">
        <v>192</v>
      </c>
      <c r="N340">
        <v>10</v>
      </c>
    </row>
    <row r="341" spans="2:14" x14ac:dyDescent="0.3">
      <c r="B341">
        <v>340</v>
      </c>
      <c r="C341" t="s">
        <v>199</v>
      </c>
      <c r="D341" t="s">
        <v>13</v>
      </c>
      <c r="E341" t="s">
        <v>20</v>
      </c>
      <c r="F341" t="s">
        <v>21</v>
      </c>
      <c r="G341" t="s">
        <v>22</v>
      </c>
      <c r="H341">
        <v>105</v>
      </c>
      <c r="I341">
        <v>1</v>
      </c>
      <c r="J341">
        <v>1</v>
      </c>
      <c r="K341" t="s">
        <v>94</v>
      </c>
      <c r="L341" t="s">
        <v>191</v>
      </c>
      <c r="M341" t="s">
        <v>192</v>
      </c>
      <c r="N341">
        <v>10</v>
      </c>
    </row>
    <row r="342" spans="2:14" x14ac:dyDescent="0.3">
      <c r="B342">
        <v>341</v>
      </c>
      <c r="C342" t="s">
        <v>200</v>
      </c>
      <c r="D342" t="s">
        <v>19</v>
      </c>
      <c r="E342" t="s">
        <v>14</v>
      </c>
      <c r="F342" t="s">
        <v>15</v>
      </c>
      <c r="G342" t="s">
        <v>16</v>
      </c>
      <c r="H342">
        <v>90</v>
      </c>
      <c r="I342">
        <v>1</v>
      </c>
      <c r="J342">
        <v>0</v>
      </c>
      <c r="K342" t="s">
        <v>94</v>
      </c>
      <c r="L342" t="s">
        <v>191</v>
      </c>
      <c r="M342" t="s">
        <v>192</v>
      </c>
      <c r="N342">
        <v>10</v>
      </c>
    </row>
    <row r="343" spans="2:14" x14ac:dyDescent="0.3">
      <c r="B343">
        <v>342</v>
      </c>
      <c r="C343" t="s">
        <v>201</v>
      </c>
      <c r="D343" t="s">
        <v>19</v>
      </c>
      <c r="E343" t="s">
        <v>20</v>
      </c>
      <c r="F343" t="s">
        <v>21</v>
      </c>
      <c r="G343" t="s">
        <v>22</v>
      </c>
      <c r="H343">
        <v>99</v>
      </c>
      <c r="I343">
        <v>1</v>
      </c>
      <c r="J343">
        <v>0</v>
      </c>
      <c r="K343" t="s">
        <v>94</v>
      </c>
      <c r="L343" t="s">
        <v>191</v>
      </c>
      <c r="M343" t="s">
        <v>192</v>
      </c>
      <c r="N343">
        <v>10</v>
      </c>
    </row>
    <row r="344" spans="2:14" x14ac:dyDescent="0.3">
      <c r="B344">
        <v>343</v>
      </c>
      <c r="C344" t="s">
        <v>202</v>
      </c>
      <c r="D344" t="s">
        <v>13</v>
      </c>
      <c r="E344" t="s">
        <v>31</v>
      </c>
      <c r="F344" t="s">
        <v>32</v>
      </c>
      <c r="G344" t="s">
        <v>33</v>
      </c>
      <c r="H344">
        <v>105</v>
      </c>
      <c r="I344">
        <v>1</v>
      </c>
      <c r="J344">
        <v>0</v>
      </c>
      <c r="K344" t="s">
        <v>94</v>
      </c>
      <c r="L344" t="s">
        <v>191</v>
      </c>
      <c r="M344" t="s">
        <v>192</v>
      </c>
      <c r="N344">
        <v>10</v>
      </c>
    </row>
    <row r="345" spans="2:14" x14ac:dyDescent="0.3">
      <c r="B345">
        <v>344</v>
      </c>
      <c r="C345" t="s">
        <v>203</v>
      </c>
      <c r="D345" t="s">
        <v>13</v>
      </c>
      <c r="E345" t="s">
        <v>14</v>
      </c>
      <c r="F345" t="s">
        <v>15</v>
      </c>
      <c r="G345" t="s">
        <v>16</v>
      </c>
      <c r="H345">
        <v>123</v>
      </c>
      <c r="I345">
        <v>2</v>
      </c>
      <c r="J345">
        <v>1</v>
      </c>
      <c r="K345" t="s">
        <v>94</v>
      </c>
      <c r="L345" t="s">
        <v>191</v>
      </c>
      <c r="M345" t="s">
        <v>192</v>
      </c>
      <c r="N345">
        <v>10</v>
      </c>
    </row>
    <row r="346" spans="2:14" x14ac:dyDescent="0.3">
      <c r="B346">
        <v>345</v>
      </c>
      <c r="C346" t="s">
        <v>204</v>
      </c>
      <c r="D346" t="s">
        <v>30</v>
      </c>
      <c r="E346" t="s">
        <v>20</v>
      </c>
      <c r="F346" t="s">
        <v>21</v>
      </c>
      <c r="G346" t="s">
        <v>22</v>
      </c>
      <c r="H346">
        <v>30</v>
      </c>
      <c r="I346">
        <v>5</v>
      </c>
      <c r="J346">
        <v>2</v>
      </c>
      <c r="K346" t="s">
        <v>94</v>
      </c>
      <c r="L346" t="s">
        <v>191</v>
      </c>
      <c r="M346" t="s">
        <v>192</v>
      </c>
      <c r="N346">
        <v>10</v>
      </c>
    </row>
    <row r="347" spans="2:14" x14ac:dyDescent="0.3">
      <c r="B347">
        <v>346</v>
      </c>
      <c r="C347" t="s">
        <v>205</v>
      </c>
      <c r="D347" t="s">
        <v>13</v>
      </c>
      <c r="E347" t="s">
        <v>14</v>
      </c>
      <c r="F347" t="s">
        <v>15</v>
      </c>
      <c r="G347" t="s">
        <v>16</v>
      </c>
      <c r="H347">
        <v>122</v>
      </c>
      <c r="I347">
        <v>1</v>
      </c>
      <c r="J347">
        <v>0</v>
      </c>
      <c r="K347" t="s">
        <v>94</v>
      </c>
      <c r="L347" t="s">
        <v>191</v>
      </c>
      <c r="M347" t="s">
        <v>192</v>
      </c>
      <c r="N347">
        <v>10</v>
      </c>
    </row>
    <row r="348" spans="2:14" x14ac:dyDescent="0.3">
      <c r="B348">
        <v>347</v>
      </c>
      <c r="C348" t="s">
        <v>206</v>
      </c>
      <c r="D348" t="s">
        <v>19</v>
      </c>
      <c r="E348" t="s">
        <v>20</v>
      </c>
      <c r="F348" t="s">
        <v>21</v>
      </c>
      <c r="G348" t="s">
        <v>22</v>
      </c>
      <c r="H348">
        <v>91</v>
      </c>
      <c r="I348">
        <v>2</v>
      </c>
      <c r="J348">
        <v>0</v>
      </c>
      <c r="K348" t="s">
        <v>94</v>
      </c>
      <c r="L348" t="s">
        <v>191</v>
      </c>
      <c r="M348" t="s">
        <v>192</v>
      </c>
      <c r="N348">
        <v>10</v>
      </c>
    </row>
    <row r="349" spans="2:14" x14ac:dyDescent="0.3">
      <c r="B349">
        <v>348</v>
      </c>
      <c r="C349" t="s">
        <v>207</v>
      </c>
      <c r="D349" t="s">
        <v>13</v>
      </c>
      <c r="E349" t="s">
        <v>20</v>
      </c>
      <c r="F349" t="s">
        <v>21</v>
      </c>
      <c r="G349" t="s">
        <v>22</v>
      </c>
      <c r="H349">
        <v>125</v>
      </c>
      <c r="I349">
        <v>1</v>
      </c>
      <c r="J349">
        <v>2</v>
      </c>
      <c r="K349" t="s">
        <v>94</v>
      </c>
      <c r="L349" t="s">
        <v>191</v>
      </c>
      <c r="M349" t="s">
        <v>192</v>
      </c>
      <c r="N349">
        <v>10</v>
      </c>
    </row>
    <row r="350" spans="2:14" x14ac:dyDescent="0.3">
      <c r="B350">
        <v>349</v>
      </c>
      <c r="C350" t="s">
        <v>208</v>
      </c>
      <c r="D350" t="s">
        <v>26</v>
      </c>
      <c r="E350" t="s">
        <v>31</v>
      </c>
      <c r="F350" t="s">
        <v>32</v>
      </c>
      <c r="G350" t="s">
        <v>33</v>
      </c>
      <c r="H350">
        <v>30</v>
      </c>
      <c r="I350">
        <v>1</v>
      </c>
      <c r="J350">
        <v>2</v>
      </c>
      <c r="K350" t="s">
        <v>94</v>
      </c>
      <c r="L350" t="s">
        <v>191</v>
      </c>
      <c r="M350" t="s">
        <v>192</v>
      </c>
      <c r="N350">
        <v>10</v>
      </c>
    </row>
    <row r="351" spans="2:14" x14ac:dyDescent="0.3">
      <c r="B351">
        <v>350</v>
      </c>
      <c r="C351" t="s">
        <v>209</v>
      </c>
      <c r="D351" t="s">
        <v>30</v>
      </c>
      <c r="E351" t="s">
        <v>20</v>
      </c>
      <c r="F351" t="s">
        <v>21</v>
      </c>
      <c r="G351" t="s">
        <v>22</v>
      </c>
      <c r="H351">
        <v>30</v>
      </c>
      <c r="I351">
        <v>1</v>
      </c>
      <c r="J351">
        <v>0</v>
      </c>
      <c r="K351" t="s">
        <v>94</v>
      </c>
      <c r="L351" t="s">
        <v>191</v>
      </c>
      <c r="M351" t="s">
        <v>192</v>
      </c>
      <c r="N351">
        <v>10</v>
      </c>
    </row>
    <row r="352" spans="2:14" x14ac:dyDescent="0.3">
      <c r="B352">
        <v>351</v>
      </c>
      <c r="C352" t="s">
        <v>210</v>
      </c>
      <c r="D352" t="s">
        <v>13</v>
      </c>
      <c r="E352" t="s">
        <v>14</v>
      </c>
      <c r="F352" t="s">
        <v>15</v>
      </c>
      <c r="G352" t="s">
        <v>16</v>
      </c>
      <c r="H352">
        <v>109</v>
      </c>
      <c r="I352">
        <v>1</v>
      </c>
      <c r="J352">
        <v>2</v>
      </c>
      <c r="K352" t="s">
        <v>94</v>
      </c>
      <c r="L352" t="s">
        <v>191</v>
      </c>
      <c r="M352" t="s">
        <v>192</v>
      </c>
      <c r="N352">
        <v>10</v>
      </c>
    </row>
    <row r="353" spans="2:14" x14ac:dyDescent="0.3">
      <c r="B353">
        <v>352</v>
      </c>
      <c r="C353" t="s">
        <v>211</v>
      </c>
      <c r="D353" t="s">
        <v>30</v>
      </c>
      <c r="E353" t="s">
        <v>31</v>
      </c>
      <c r="F353" t="s">
        <v>32</v>
      </c>
      <c r="G353" t="s">
        <v>33</v>
      </c>
      <c r="H353">
        <v>30</v>
      </c>
      <c r="I353">
        <v>2</v>
      </c>
      <c r="J353">
        <v>0</v>
      </c>
      <c r="K353" t="s">
        <v>94</v>
      </c>
      <c r="L353" t="s">
        <v>191</v>
      </c>
      <c r="M353" t="s">
        <v>192</v>
      </c>
      <c r="N353">
        <v>10</v>
      </c>
    </row>
    <row r="354" spans="2:14" x14ac:dyDescent="0.3">
      <c r="B354">
        <v>353</v>
      </c>
      <c r="C354" t="s">
        <v>212</v>
      </c>
      <c r="D354" t="s">
        <v>13</v>
      </c>
      <c r="E354" t="s">
        <v>14</v>
      </c>
      <c r="F354" t="s">
        <v>15</v>
      </c>
      <c r="G354" t="s">
        <v>16</v>
      </c>
      <c r="H354">
        <v>107</v>
      </c>
      <c r="I354">
        <v>2</v>
      </c>
      <c r="J354">
        <v>0</v>
      </c>
      <c r="K354" t="s">
        <v>94</v>
      </c>
      <c r="L354" t="s">
        <v>191</v>
      </c>
      <c r="M354" t="s">
        <v>192</v>
      </c>
      <c r="N354">
        <v>10</v>
      </c>
    </row>
    <row r="355" spans="2:14" x14ac:dyDescent="0.3">
      <c r="B355">
        <v>354</v>
      </c>
      <c r="C355" t="s">
        <v>213</v>
      </c>
      <c r="D355" t="s">
        <v>26</v>
      </c>
      <c r="E355" t="s">
        <v>14</v>
      </c>
      <c r="F355" t="s">
        <v>15</v>
      </c>
      <c r="G355" t="s">
        <v>16</v>
      </c>
      <c r="H355">
        <v>25</v>
      </c>
      <c r="I355">
        <v>1</v>
      </c>
      <c r="J355">
        <v>0</v>
      </c>
      <c r="K355" t="s">
        <v>94</v>
      </c>
      <c r="L355" t="s">
        <v>191</v>
      </c>
      <c r="M355" t="s">
        <v>192</v>
      </c>
      <c r="N355">
        <v>10</v>
      </c>
    </row>
    <row r="356" spans="2:14" x14ac:dyDescent="0.3">
      <c r="B356">
        <v>355</v>
      </c>
      <c r="C356" t="s">
        <v>214</v>
      </c>
      <c r="D356" t="s">
        <v>26</v>
      </c>
      <c r="E356" t="s">
        <v>20</v>
      </c>
      <c r="F356" t="s">
        <v>21</v>
      </c>
      <c r="G356" t="s">
        <v>22</v>
      </c>
      <c r="H356">
        <v>23</v>
      </c>
      <c r="I356">
        <v>2</v>
      </c>
      <c r="J356">
        <v>0</v>
      </c>
      <c r="K356" t="s">
        <v>94</v>
      </c>
      <c r="L356" t="s">
        <v>191</v>
      </c>
      <c r="M356" t="s">
        <v>192</v>
      </c>
      <c r="N356">
        <v>10</v>
      </c>
    </row>
    <row r="357" spans="2:14" x14ac:dyDescent="0.3">
      <c r="B357">
        <v>356</v>
      </c>
      <c r="C357" t="s">
        <v>215</v>
      </c>
      <c r="D357" t="s">
        <v>23</v>
      </c>
      <c r="E357" t="s">
        <v>14</v>
      </c>
      <c r="F357" t="s">
        <v>15</v>
      </c>
      <c r="G357" t="s">
        <v>16</v>
      </c>
      <c r="H357">
        <v>33</v>
      </c>
      <c r="I357">
        <v>2</v>
      </c>
      <c r="J357">
        <v>1</v>
      </c>
      <c r="K357" t="s">
        <v>94</v>
      </c>
      <c r="L357" t="s">
        <v>191</v>
      </c>
      <c r="M357" t="s">
        <v>192</v>
      </c>
      <c r="N357">
        <v>10</v>
      </c>
    </row>
    <row r="358" spans="2:14" x14ac:dyDescent="0.3">
      <c r="B358">
        <v>357</v>
      </c>
      <c r="C358" t="s">
        <v>216</v>
      </c>
      <c r="D358" t="s">
        <v>13</v>
      </c>
      <c r="E358" t="s">
        <v>20</v>
      </c>
      <c r="F358" t="s">
        <v>21</v>
      </c>
      <c r="G358" t="s">
        <v>22</v>
      </c>
      <c r="H358">
        <v>107</v>
      </c>
      <c r="I358">
        <v>2</v>
      </c>
      <c r="J358">
        <v>1</v>
      </c>
      <c r="K358" t="s">
        <v>94</v>
      </c>
      <c r="L358" t="s">
        <v>191</v>
      </c>
      <c r="M358" t="s">
        <v>192</v>
      </c>
      <c r="N358">
        <v>10</v>
      </c>
    </row>
    <row r="359" spans="2:14" x14ac:dyDescent="0.3">
      <c r="B359">
        <v>358</v>
      </c>
      <c r="C359" t="s">
        <v>217</v>
      </c>
      <c r="D359" t="s">
        <v>19</v>
      </c>
      <c r="E359" t="s">
        <v>20</v>
      </c>
      <c r="F359" t="s">
        <v>21</v>
      </c>
      <c r="G359" t="s">
        <v>22</v>
      </c>
      <c r="H359">
        <v>90</v>
      </c>
      <c r="I359">
        <v>2</v>
      </c>
      <c r="J359">
        <v>0</v>
      </c>
      <c r="K359" t="s">
        <v>94</v>
      </c>
      <c r="L359" t="s">
        <v>191</v>
      </c>
      <c r="M359" t="s">
        <v>192</v>
      </c>
      <c r="N359">
        <v>10</v>
      </c>
    </row>
    <row r="360" spans="2:14" x14ac:dyDescent="0.3">
      <c r="B360">
        <v>359</v>
      </c>
      <c r="C360" t="s">
        <v>218</v>
      </c>
      <c r="D360" t="s">
        <v>30</v>
      </c>
      <c r="E360" t="s">
        <v>14</v>
      </c>
      <c r="F360" t="s">
        <v>15</v>
      </c>
      <c r="G360" t="s">
        <v>16</v>
      </c>
      <c r="H360">
        <v>30</v>
      </c>
      <c r="I360">
        <v>1</v>
      </c>
      <c r="J360">
        <v>1</v>
      </c>
      <c r="K360" t="s">
        <v>94</v>
      </c>
      <c r="L360" t="s">
        <v>191</v>
      </c>
      <c r="M360" t="s">
        <v>192</v>
      </c>
      <c r="N360">
        <v>10</v>
      </c>
    </row>
    <row r="361" spans="2:14" x14ac:dyDescent="0.3">
      <c r="B361">
        <v>360</v>
      </c>
      <c r="C361" t="s">
        <v>219</v>
      </c>
      <c r="D361" t="s">
        <v>23</v>
      </c>
      <c r="E361" t="s">
        <v>31</v>
      </c>
      <c r="F361" t="s">
        <v>32</v>
      </c>
      <c r="G361" t="s">
        <v>33</v>
      </c>
      <c r="H361">
        <v>50</v>
      </c>
      <c r="I361">
        <v>2</v>
      </c>
      <c r="J361">
        <v>1</v>
      </c>
      <c r="K361" t="s">
        <v>94</v>
      </c>
      <c r="L361" t="s">
        <v>191</v>
      </c>
      <c r="M361" t="s">
        <v>192</v>
      </c>
      <c r="N361">
        <v>10</v>
      </c>
    </row>
    <row r="362" spans="2:14" x14ac:dyDescent="0.3">
      <c r="B362">
        <v>361</v>
      </c>
      <c r="C362" t="s">
        <v>220</v>
      </c>
      <c r="D362" t="s">
        <v>26</v>
      </c>
      <c r="E362" t="s">
        <v>14</v>
      </c>
      <c r="F362" t="s">
        <v>15</v>
      </c>
      <c r="G362" t="s">
        <v>16</v>
      </c>
      <c r="H362">
        <v>22</v>
      </c>
      <c r="I362">
        <v>1</v>
      </c>
      <c r="J362">
        <v>1</v>
      </c>
      <c r="K362" t="s">
        <v>94</v>
      </c>
      <c r="L362" t="s">
        <v>191</v>
      </c>
      <c r="M362" t="s">
        <v>192</v>
      </c>
      <c r="N362">
        <v>10</v>
      </c>
    </row>
    <row r="363" spans="2:14" x14ac:dyDescent="0.3">
      <c r="B363">
        <v>362</v>
      </c>
      <c r="C363" t="s">
        <v>221</v>
      </c>
      <c r="D363" t="s">
        <v>26</v>
      </c>
      <c r="E363" t="s">
        <v>20</v>
      </c>
      <c r="F363" t="s">
        <v>21</v>
      </c>
      <c r="G363" t="s">
        <v>22</v>
      </c>
      <c r="H363">
        <v>21</v>
      </c>
      <c r="I363">
        <v>1</v>
      </c>
      <c r="J363">
        <v>2</v>
      </c>
      <c r="K363" t="s">
        <v>94</v>
      </c>
      <c r="L363" t="s">
        <v>191</v>
      </c>
      <c r="M363" t="s">
        <v>192</v>
      </c>
      <c r="N363">
        <v>10</v>
      </c>
    </row>
    <row r="364" spans="2:14" x14ac:dyDescent="0.3">
      <c r="B364">
        <v>363</v>
      </c>
      <c r="C364" t="s">
        <v>222</v>
      </c>
      <c r="D364" t="s">
        <v>19</v>
      </c>
      <c r="E364" t="s">
        <v>14</v>
      </c>
      <c r="F364" t="s">
        <v>15</v>
      </c>
      <c r="G364" t="s">
        <v>16</v>
      </c>
      <c r="H364">
        <v>94</v>
      </c>
      <c r="I364">
        <v>1</v>
      </c>
      <c r="J364">
        <v>0</v>
      </c>
      <c r="K364" t="s">
        <v>94</v>
      </c>
      <c r="L364" t="s">
        <v>191</v>
      </c>
      <c r="M364" t="s">
        <v>192</v>
      </c>
      <c r="N364">
        <v>10</v>
      </c>
    </row>
    <row r="365" spans="2:14" x14ac:dyDescent="0.3">
      <c r="B365">
        <v>364</v>
      </c>
      <c r="C365" t="s">
        <v>223</v>
      </c>
      <c r="D365" t="s">
        <v>26</v>
      </c>
      <c r="E365" t="s">
        <v>20</v>
      </c>
      <c r="F365" t="s">
        <v>21</v>
      </c>
      <c r="G365" t="s">
        <v>22</v>
      </c>
      <c r="H365">
        <v>30</v>
      </c>
      <c r="I365">
        <v>2</v>
      </c>
      <c r="J365">
        <v>2</v>
      </c>
      <c r="K365" t="s">
        <v>94</v>
      </c>
      <c r="L365" t="s">
        <v>191</v>
      </c>
      <c r="M365" t="s">
        <v>224</v>
      </c>
      <c r="N365">
        <v>11</v>
      </c>
    </row>
    <row r="366" spans="2:14" x14ac:dyDescent="0.3">
      <c r="B366">
        <v>365</v>
      </c>
      <c r="C366" t="s">
        <v>225</v>
      </c>
      <c r="D366" t="s">
        <v>19</v>
      </c>
      <c r="E366" t="s">
        <v>14</v>
      </c>
      <c r="F366" t="s">
        <v>15</v>
      </c>
      <c r="G366" t="s">
        <v>16</v>
      </c>
      <c r="H366">
        <v>92</v>
      </c>
      <c r="I366">
        <v>2</v>
      </c>
      <c r="J366">
        <v>0</v>
      </c>
      <c r="K366" t="s">
        <v>94</v>
      </c>
      <c r="L366" t="s">
        <v>191</v>
      </c>
      <c r="M366" t="s">
        <v>224</v>
      </c>
      <c r="N366">
        <v>11</v>
      </c>
    </row>
    <row r="367" spans="2:14" x14ac:dyDescent="0.3">
      <c r="B367">
        <v>366</v>
      </c>
      <c r="C367" t="s">
        <v>226</v>
      </c>
      <c r="D367" t="s">
        <v>19</v>
      </c>
      <c r="E367" t="s">
        <v>20</v>
      </c>
      <c r="F367" t="s">
        <v>21</v>
      </c>
      <c r="G367" t="s">
        <v>22</v>
      </c>
      <c r="H367">
        <v>91</v>
      </c>
      <c r="I367">
        <v>4</v>
      </c>
      <c r="J367">
        <v>1</v>
      </c>
      <c r="K367" t="s">
        <v>94</v>
      </c>
      <c r="L367" t="s">
        <v>191</v>
      </c>
      <c r="M367" t="s">
        <v>224</v>
      </c>
      <c r="N367">
        <v>11</v>
      </c>
    </row>
    <row r="368" spans="2:14" x14ac:dyDescent="0.3">
      <c r="B368">
        <v>367</v>
      </c>
      <c r="C368" t="s">
        <v>227</v>
      </c>
      <c r="D368" t="s">
        <v>30</v>
      </c>
      <c r="E368" t="s">
        <v>20</v>
      </c>
      <c r="F368" t="s">
        <v>21</v>
      </c>
      <c r="G368" t="s">
        <v>22</v>
      </c>
      <c r="H368">
        <v>30</v>
      </c>
      <c r="I368">
        <v>2</v>
      </c>
      <c r="J368">
        <v>1</v>
      </c>
      <c r="K368" t="s">
        <v>94</v>
      </c>
      <c r="L368" t="s">
        <v>191</v>
      </c>
      <c r="M368" t="s">
        <v>224</v>
      </c>
      <c r="N368">
        <v>11</v>
      </c>
    </row>
    <row r="369" spans="2:14" x14ac:dyDescent="0.3">
      <c r="B369">
        <v>368</v>
      </c>
      <c r="C369" t="s">
        <v>228</v>
      </c>
      <c r="D369" t="s">
        <v>13</v>
      </c>
      <c r="E369" t="s">
        <v>31</v>
      </c>
      <c r="F369" t="s">
        <v>32</v>
      </c>
      <c r="G369" t="s">
        <v>33</v>
      </c>
      <c r="H369">
        <v>120</v>
      </c>
      <c r="I369">
        <v>5</v>
      </c>
      <c r="J369">
        <v>1</v>
      </c>
      <c r="K369" t="s">
        <v>94</v>
      </c>
      <c r="L369" t="s">
        <v>191</v>
      </c>
      <c r="M369" t="s">
        <v>224</v>
      </c>
      <c r="N369">
        <v>11</v>
      </c>
    </row>
    <row r="370" spans="2:14" x14ac:dyDescent="0.3">
      <c r="B370">
        <v>369</v>
      </c>
      <c r="C370" t="s">
        <v>229</v>
      </c>
      <c r="D370" t="s">
        <v>19</v>
      </c>
      <c r="E370" t="s">
        <v>20</v>
      </c>
      <c r="F370" t="s">
        <v>21</v>
      </c>
      <c r="G370" t="s">
        <v>22</v>
      </c>
      <c r="H370">
        <v>90</v>
      </c>
      <c r="I370">
        <v>1</v>
      </c>
      <c r="J370">
        <v>0</v>
      </c>
      <c r="K370" t="s">
        <v>94</v>
      </c>
      <c r="L370" t="s">
        <v>191</v>
      </c>
      <c r="M370" t="s">
        <v>224</v>
      </c>
      <c r="N370">
        <v>11</v>
      </c>
    </row>
    <row r="371" spans="2:14" x14ac:dyDescent="0.3">
      <c r="B371">
        <v>370</v>
      </c>
      <c r="C371" t="s">
        <v>230</v>
      </c>
      <c r="D371" t="s">
        <v>13</v>
      </c>
      <c r="E371" t="s">
        <v>14</v>
      </c>
      <c r="F371" t="s">
        <v>15</v>
      </c>
      <c r="G371" t="s">
        <v>16</v>
      </c>
      <c r="H371">
        <v>112</v>
      </c>
      <c r="I371">
        <v>2</v>
      </c>
      <c r="J371">
        <v>0</v>
      </c>
      <c r="K371" t="s">
        <v>94</v>
      </c>
      <c r="L371" t="s">
        <v>191</v>
      </c>
      <c r="M371" t="s">
        <v>224</v>
      </c>
      <c r="N371">
        <v>11</v>
      </c>
    </row>
    <row r="372" spans="2:14" x14ac:dyDescent="0.3">
      <c r="B372">
        <v>371</v>
      </c>
      <c r="C372" t="s">
        <v>231</v>
      </c>
      <c r="D372" t="s">
        <v>19</v>
      </c>
      <c r="E372" t="s">
        <v>14</v>
      </c>
      <c r="F372" t="s">
        <v>15</v>
      </c>
      <c r="G372" t="s">
        <v>16</v>
      </c>
      <c r="H372">
        <v>101</v>
      </c>
      <c r="I372">
        <v>1</v>
      </c>
      <c r="J372">
        <v>1</v>
      </c>
      <c r="K372" t="s">
        <v>94</v>
      </c>
      <c r="L372" t="s">
        <v>191</v>
      </c>
      <c r="M372" t="s">
        <v>224</v>
      </c>
      <c r="N372">
        <v>11</v>
      </c>
    </row>
    <row r="373" spans="2:14" x14ac:dyDescent="0.3">
      <c r="B373">
        <v>372</v>
      </c>
      <c r="C373" t="s">
        <v>232</v>
      </c>
      <c r="D373" t="s">
        <v>13</v>
      </c>
      <c r="E373" t="s">
        <v>20</v>
      </c>
      <c r="F373" t="s">
        <v>21</v>
      </c>
      <c r="G373" t="s">
        <v>22</v>
      </c>
      <c r="H373">
        <v>112</v>
      </c>
      <c r="I373">
        <v>2</v>
      </c>
      <c r="J373">
        <v>0</v>
      </c>
      <c r="K373" t="s">
        <v>94</v>
      </c>
      <c r="L373" t="s">
        <v>191</v>
      </c>
      <c r="M373" t="s">
        <v>224</v>
      </c>
      <c r="N373">
        <v>11</v>
      </c>
    </row>
    <row r="374" spans="2:14" x14ac:dyDescent="0.3">
      <c r="B374">
        <v>373</v>
      </c>
      <c r="C374" t="s">
        <v>233</v>
      </c>
      <c r="D374" t="s">
        <v>30</v>
      </c>
      <c r="E374" t="s">
        <v>20</v>
      </c>
      <c r="F374" t="s">
        <v>21</v>
      </c>
      <c r="G374" t="s">
        <v>22</v>
      </c>
      <c r="H374">
        <v>35</v>
      </c>
      <c r="I374">
        <v>1</v>
      </c>
      <c r="J374">
        <v>2</v>
      </c>
      <c r="K374" t="s">
        <v>94</v>
      </c>
      <c r="L374" t="s">
        <v>191</v>
      </c>
      <c r="M374" t="s">
        <v>224</v>
      </c>
      <c r="N374">
        <v>11</v>
      </c>
    </row>
    <row r="375" spans="2:14" x14ac:dyDescent="0.3">
      <c r="B375">
        <v>374</v>
      </c>
      <c r="C375" t="s">
        <v>234</v>
      </c>
      <c r="D375" t="s">
        <v>23</v>
      </c>
      <c r="E375" t="s">
        <v>14</v>
      </c>
      <c r="F375" t="s">
        <v>15</v>
      </c>
      <c r="G375" t="s">
        <v>16</v>
      </c>
      <c r="H375">
        <v>50</v>
      </c>
      <c r="I375">
        <v>1</v>
      </c>
      <c r="J375">
        <v>2</v>
      </c>
      <c r="K375" t="s">
        <v>94</v>
      </c>
      <c r="L375" t="s">
        <v>191</v>
      </c>
      <c r="M375" t="s">
        <v>224</v>
      </c>
      <c r="N375">
        <v>11</v>
      </c>
    </row>
    <row r="376" spans="2:14" x14ac:dyDescent="0.3">
      <c r="B376">
        <v>375</v>
      </c>
      <c r="C376" t="s">
        <v>235</v>
      </c>
      <c r="D376" t="s">
        <v>23</v>
      </c>
      <c r="E376" t="s">
        <v>20</v>
      </c>
      <c r="F376" t="s">
        <v>21</v>
      </c>
      <c r="G376" t="s">
        <v>22</v>
      </c>
      <c r="H376">
        <v>33</v>
      </c>
      <c r="I376">
        <v>1</v>
      </c>
      <c r="J376">
        <v>1</v>
      </c>
      <c r="K376" t="s">
        <v>94</v>
      </c>
      <c r="L376" t="s">
        <v>191</v>
      </c>
      <c r="M376" t="s">
        <v>224</v>
      </c>
      <c r="N376">
        <v>11</v>
      </c>
    </row>
    <row r="377" spans="2:14" x14ac:dyDescent="0.3">
      <c r="B377">
        <v>376</v>
      </c>
      <c r="C377" t="s">
        <v>236</v>
      </c>
      <c r="D377" t="s">
        <v>23</v>
      </c>
      <c r="E377" t="s">
        <v>20</v>
      </c>
      <c r="F377" t="s">
        <v>21</v>
      </c>
      <c r="G377" t="s">
        <v>22</v>
      </c>
      <c r="H377">
        <v>50</v>
      </c>
      <c r="I377">
        <v>1</v>
      </c>
      <c r="J377">
        <v>2</v>
      </c>
      <c r="K377" t="s">
        <v>94</v>
      </c>
      <c r="L377" t="s">
        <v>191</v>
      </c>
      <c r="M377" t="s">
        <v>224</v>
      </c>
      <c r="N377">
        <v>11</v>
      </c>
    </row>
    <row r="378" spans="2:14" x14ac:dyDescent="0.3">
      <c r="B378">
        <v>377</v>
      </c>
      <c r="C378" t="s">
        <v>237</v>
      </c>
      <c r="D378" t="s">
        <v>23</v>
      </c>
      <c r="E378" t="s">
        <v>14</v>
      </c>
      <c r="F378" t="s">
        <v>15</v>
      </c>
      <c r="G378" t="s">
        <v>16</v>
      </c>
      <c r="H378">
        <v>50</v>
      </c>
      <c r="I378">
        <v>1</v>
      </c>
      <c r="J378">
        <v>1</v>
      </c>
      <c r="K378" t="s">
        <v>94</v>
      </c>
      <c r="L378" t="s">
        <v>191</v>
      </c>
      <c r="M378" t="s">
        <v>224</v>
      </c>
      <c r="N378">
        <v>11</v>
      </c>
    </row>
    <row r="379" spans="2:14" x14ac:dyDescent="0.3">
      <c r="B379">
        <v>378</v>
      </c>
      <c r="C379" t="s">
        <v>238</v>
      </c>
      <c r="D379" t="s">
        <v>30</v>
      </c>
      <c r="E379" t="s">
        <v>14</v>
      </c>
      <c r="F379" t="s">
        <v>15</v>
      </c>
      <c r="G379" t="s">
        <v>16</v>
      </c>
      <c r="H379">
        <v>27</v>
      </c>
      <c r="I379">
        <v>2</v>
      </c>
      <c r="J379">
        <v>1</v>
      </c>
      <c r="K379" t="s">
        <v>94</v>
      </c>
      <c r="L379" t="s">
        <v>191</v>
      </c>
      <c r="M379" t="s">
        <v>224</v>
      </c>
      <c r="N379">
        <v>11</v>
      </c>
    </row>
    <row r="380" spans="2:14" x14ac:dyDescent="0.3">
      <c r="B380">
        <v>379</v>
      </c>
      <c r="C380" t="s">
        <v>239</v>
      </c>
      <c r="D380" t="s">
        <v>30</v>
      </c>
      <c r="E380" t="s">
        <v>31</v>
      </c>
      <c r="F380" t="s">
        <v>32</v>
      </c>
      <c r="G380" t="s">
        <v>33</v>
      </c>
      <c r="H380">
        <v>27</v>
      </c>
      <c r="I380">
        <v>2</v>
      </c>
      <c r="J380">
        <v>2</v>
      </c>
      <c r="K380" t="s">
        <v>94</v>
      </c>
      <c r="L380" t="s">
        <v>191</v>
      </c>
      <c r="M380" t="s">
        <v>224</v>
      </c>
      <c r="N380">
        <v>11</v>
      </c>
    </row>
    <row r="381" spans="2:14" x14ac:dyDescent="0.3">
      <c r="B381">
        <v>380</v>
      </c>
      <c r="C381" t="s">
        <v>240</v>
      </c>
      <c r="D381" t="s">
        <v>19</v>
      </c>
      <c r="E381" t="s">
        <v>14</v>
      </c>
      <c r="F381" t="s">
        <v>15</v>
      </c>
      <c r="G381" t="s">
        <v>16</v>
      </c>
      <c r="H381">
        <v>102</v>
      </c>
      <c r="I381">
        <v>1</v>
      </c>
      <c r="J381">
        <v>3</v>
      </c>
      <c r="K381" t="s">
        <v>94</v>
      </c>
      <c r="L381" t="s">
        <v>191</v>
      </c>
      <c r="M381" t="s">
        <v>224</v>
      </c>
      <c r="N381">
        <v>11</v>
      </c>
    </row>
    <row r="382" spans="2:14" x14ac:dyDescent="0.3">
      <c r="B382">
        <v>381</v>
      </c>
      <c r="C382" t="s">
        <v>241</v>
      </c>
      <c r="D382" t="s">
        <v>19</v>
      </c>
      <c r="E382" t="s">
        <v>20</v>
      </c>
      <c r="F382" t="s">
        <v>21</v>
      </c>
      <c r="G382" t="s">
        <v>22</v>
      </c>
      <c r="H382">
        <v>88</v>
      </c>
      <c r="I382">
        <v>2</v>
      </c>
      <c r="J382">
        <v>1</v>
      </c>
      <c r="K382" t="s">
        <v>94</v>
      </c>
      <c r="L382" t="s">
        <v>191</v>
      </c>
      <c r="M382" t="s">
        <v>224</v>
      </c>
      <c r="N382">
        <v>11</v>
      </c>
    </row>
    <row r="383" spans="2:14" x14ac:dyDescent="0.3">
      <c r="B383">
        <v>382</v>
      </c>
      <c r="C383" t="s">
        <v>242</v>
      </c>
      <c r="D383" t="s">
        <v>26</v>
      </c>
      <c r="E383" t="s">
        <v>14</v>
      </c>
      <c r="F383" t="s">
        <v>15</v>
      </c>
      <c r="G383" t="s">
        <v>16</v>
      </c>
      <c r="H383">
        <v>23</v>
      </c>
      <c r="I383">
        <v>1</v>
      </c>
      <c r="J383">
        <v>0</v>
      </c>
      <c r="K383" t="s">
        <v>94</v>
      </c>
      <c r="L383" t="s">
        <v>191</v>
      </c>
      <c r="M383" t="s">
        <v>224</v>
      </c>
      <c r="N383">
        <v>11</v>
      </c>
    </row>
    <row r="384" spans="2:14" x14ac:dyDescent="0.3">
      <c r="B384">
        <v>383</v>
      </c>
      <c r="C384" t="s">
        <v>243</v>
      </c>
      <c r="D384" t="s">
        <v>19</v>
      </c>
      <c r="E384" t="s">
        <v>14</v>
      </c>
      <c r="F384" t="s">
        <v>15</v>
      </c>
      <c r="G384" t="s">
        <v>16</v>
      </c>
      <c r="H384">
        <v>84</v>
      </c>
      <c r="I384">
        <v>1</v>
      </c>
      <c r="J384">
        <v>1</v>
      </c>
      <c r="K384" t="s">
        <v>94</v>
      </c>
      <c r="L384" t="s">
        <v>191</v>
      </c>
      <c r="M384" t="s">
        <v>224</v>
      </c>
      <c r="N384">
        <v>11</v>
      </c>
    </row>
    <row r="385" spans="2:14" x14ac:dyDescent="0.3">
      <c r="B385">
        <v>384</v>
      </c>
      <c r="C385" t="s">
        <v>244</v>
      </c>
      <c r="D385" t="s">
        <v>30</v>
      </c>
      <c r="E385" t="s">
        <v>31</v>
      </c>
      <c r="F385" t="s">
        <v>32</v>
      </c>
      <c r="G385" t="s">
        <v>33</v>
      </c>
      <c r="H385">
        <v>22</v>
      </c>
      <c r="I385">
        <v>2</v>
      </c>
      <c r="J385">
        <v>2</v>
      </c>
      <c r="K385" t="s">
        <v>94</v>
      </c>
      <c r="L385" t="s">
        <v>191</v>
      </c>
      <c r="M385" t="s">
        <v>224</v>
      </c>
      <c r="N385">
        <v>11</v>
      </c>
    </row>
    <row r="386" spans="2:14" x14ac:dyDescent="0.3">
      <c r="B386">
        <v>385</v>
      </c>
      <c r="C386" t="s">
        <v>245</v>
      </c>
      <c r="D386" t="s">
        <v>13</v>
      </c>
      <c r="E386" t="s">
        <v>20</v>
      </c>
      <c r="F386" t="s">
        <v>21</v>
      </c>
      <c r="G386" t="s">
        <v>22</v>
      </c>
      <c r="H386">
        <v>111</v>
      </c>
      <c r="I386">
        <v>2</v>
      </c>
      <c r="J386">
        <v>2</v>
      </c>
      <c r="K386" t="s">
        <v>94</v>
      </c>
      <c r="L386" t="s">
        <v>191</v>
      </c>
      <c r="M386" t="s">
        <v>224</v>
      </c>
      <c r="N386">
        <v>11</v>
      </c>
    </row>
    <row r="387" spans="2:14" x14ac:dyDescent="0.3">
      <c r="B387">
        <v>386</v>
      </c>
      <c r="C387" t="s">
        <v>246</v>
      </c>
      <c r="D387" t="s">
        <v>19</v>
      </c>
      <c r="E387" t="s">
        <v>31</v>
      </c>
      <c r="F387" t="s">
        <v>32</v>
      </c>
      <c r="G387" t="s">
        <v>33</v>
      </c>
      <c r="H387">
        <v>81</v>
      </c>
      <c r="I387">
        <v>5</v>
      </c>
      <c r="J387">
        <v>2</v>
      </c>
      <c r="K387" t="s">
        <v>94</v>
      </c>
      <c r="L387" t="s">
        <v>191</v>
      </c>
      <c r="M387" t="s">
        <v>224</v>
      </c>
      <c r="N387">
        <v>11</v>
      </c>
    </row>
    <row r="388" spans="2:14" x14ac:dyDescent="0.3">
      <c r="B388">
        <v>387</v>
      </c>
      <c r="C388" t="s">
        <v>247</v>
      </c>
      <c r="D388" t="s">
        <v>30</v>
      </c>
      <c r="E388" t="s">
        <v>20</v>
      </c>
      <c r="F388" t="s">
        <v>21</v>
      </c>
      <c r="G388" t="s">
        <v>22</v>
      </c>
      <c r="H388">
        <v>22</v>
      </c>
      <c r="I388">
        <v>2</v>
      </c>
      <c r="J388">
        <v>1</v>
      </c>
      <c r="K388" t="s">
        <v>94</v>
      </c>
      <c r="L388" t="s">
        <v>191</v>
      </c>
      <c r="M388" t="s">
        <v>224</v>
      </c>
      <c r="N388">
        <v>11</v>
      </c>
    </row>
    <row r="389" spans="2:14" x14ac:dyDescent="0.3">
      <c r="B389">
        <v>388</v>
      </c>
      <c r="C389" t="s">
        <v>248</v>
      </c>
      <c r="D389" t="s">
        <v>26</v>
      </c>
      <c r="E389" t="s">
        <v>20</v>
      </c>
      <c r="F389" t="s">
        <v>21</v>
      </c>
      <c r="G389" t="s">
        <v>22</v>
      </c>
      <c r="H389">
        <v>30</v>
      </c>
      <c r="I389">
        <v>1</v>
      </c>
      <c r="J389">
        <v>3</v>
      </c>
      <c r="K389" t="s">
        <v>94</v>
      </c>
      <c r="L389" t="s">
        <v>191</v>
      </c>
      <c r="M389" t="s">
        <v>224</v>
      </c>
      <c r="N389">
        <v>11</v>
      </c>
    </row>
    <row r="390" spans="2:14" x14ac:dyDescent="0.3">
      <c r="B390">
        <v>389</v>
      </c>
      <c r="C390" t="s">
        <v>249</v>
      </c>
      <c r="D390" t="s">
        <v>23</v>
      </c>
      <c r="E390" t="s">
        <v>14</v>
      </c>
      <c r="F390" t="s">
        <v>15</v>
      </c>
      <c r="G390" t="s">
        <v>16</v>
      </c>
      <c r="H390">
        <v>35</v>
      </c>
      <c r="I390">
        <v>5</v>
      </c>
      <c r="J390">
        <v>1</v>
      </c>
      <c r="K390" t="s">
        <v>94</v>
      </c>
      <c r="L390" t="s">
        <v>191</v>
      </c>
      <c r="M390" t="s">
        <v>224</v>
      </c>
      <c r="N390">
        <v>11</v>
      </c>
    </row>
    <row r="391" spans="2:14" x14ac:dyDescent="0.3">
      <c r="B391">
        <v>390</v>
      </c>
      <c r="C391" t="s">
        <v>250</v>
      </c>
      <c r="D391" t="s">
        <v>30</v>
      </c>
      <c r="E391" t="s">
        <v>14</v>
      </c>
      <c r="F391" t="s">
        <v>15</v>
      </c>
      <c r="G391" t="s">
        <v>16</v>
      </c>
      <c r="H391">
        <v>29</v>
      </c>
      <c r="I391">
        <v>2</v>
      </c>
      <c r="J391">
        <v>1</v>
      </c>
      <c r="K391" t="s">
        <v>94</v>
      </c>
      <c r="L391" t="s">
        <v>191</v>
      </c>
      <c r="M391" t="s">
        <v>224</v>
      </c>
      <c r="N391">
        <v>11</v>
      </c>
    </row>
    <row r="392" spans="2:14" x14ac:dyDescent="0.3">
      <c r="B392">
        <v>391</v>
      </c>
      <c r="C392" t="s">
        <v>251</v>
      </c>
      <c r="D392" t="s">
        <v>23</v>
      </c>
      <c r="E392" t="s">
        <v>14</v>
      </c>
      <c r="F392" t="s">
        <v>15</v>
      </c>
      <c r="G392" t="s">
        <v>16</v>
      </c>
      <c r="H392">
        <v>50</v>
      </c>
      <c r="I392">
        <v>2</v>
      </c>
      <c r="J392">
        <v>1</v>
      </c>
      <c r="K392" t="s">
        <v>94</v>
      </c>
      <c r="L392" t="s">
        <v>191</v>
      </c>
      <c r="M392" t="s">
        <v>224</v>
      </c>
      <c r="N392">
        <v>11</v>
      </c>
    </row>
    <row r="393" spans="2:14" x14ac:dyDescent="0.3">
      <c r="B393">
        <v>392</v>
      </c>
      <c r="C393" t="s">
        <v>252</v>
      </c>
      <c r="D393" t="s">
        <v>19</v>
      </c>
      <c r="E393" t="s">
        <v>14</v>
      </c>
      <c r="F393" t="s">
        <v>15</v>
      </c>
      <c r="G393" t="s">
        <v>16</v>
      </c>
      <c r="H393">
        <v>87</v>
      </c>
      <c r="I393">
        <v>2</v>
      </c>
      <c r="J393">
        <v>1</v>
      </c>
      <c r="K393" t="s">
        <v>94</v>
      </c>
      <c r="L393" t="s">
        <v>191</v>
      </c>
      <c r="M393" t="s">
        <v>224</v>
      </c>
      <c r="N393">
        <v>11</v>
      </c>
    </row>
    <row r="394" spans="2:14" x14ac:dyDescent="0.3">
      <c r="B394">
        <v>393</v>
      </c>
      <c r="C394" t="s">
        <v>253</v>
      </c>
      <c r="D394" t="s">
        <v>19</v>
      </c>
      <c r="E394" t="s">
        <v>14</v>
      </c>
      <c r="F394" t="s">
        <v>15</v>
      </c>
      <c r="G394" t="s">
        <v>16</v>
      </c>
      <c r="H394">
        <v>80</v>
      </c>
      <c r="I394">
        <v>1</v>
      </c>
      <c r="J394">
        <v>0</v>
      </c>
      <c r="K394" t="s">
        <v>94</v>
      </c>
      <c r="L394" t="s">
        <v>191</v>
      </c>
      <c r="M394" t="s">
        <v>224</v>
      </c>
      <c r="N394">
        <v>11</v>
      </c>
    </row>
    <row r="395" spans="2:14" x14ac:dyDescent="0.3">
      <c r="B395">
        <v>394</v>
      </c>
      <c r="C395" t="s">
        <v>254</v>
      </c>
      <c r="D395" t="s">
        <v>30</v>
      </c>
      <c r="E395" t="s">
        <v>14</v>
      </c>
      <c r="F395" t="s">
        <v>15</v>
      </c>
      <c r="G395" t="s">
        <v>16</v>
      </c>
      <c r="H395">
        <v>27</v>
      </c>
      <c r="I395">
        <v>1</v>
      </c>
      <c r="J395">
        <v>1</v>
      </c>
      <c r="K395" t="s">
        <v>94</v>
      </c>
      <c r="L395" t="s">
        <v>191</v>
      </c>
      <c r="M395" t="s">
        <v>255</v>
      </c>
      <c r="N395">
        <v>12</v>
      </c>
    </row>
    <row r="396" spans="2:14" x14ac:dyDescent="0.3">
      <c r="B396">
        <v>395</v>
      </c>
      <c r="C396" t="s">
        <v>256</v>
      </c>
      <c r="D396" t="s">
        <v>30</v>
      </c>
      <c r="E396" t="s">
        <v>14</v>
      </c>
      <c r="F396" t="s">
        <v>15</v>
      </c>
      <c r="G396" t="s">
        <v>16</v>
      </c>
      <c r="H396">
        <v>27</v>
      </c>
      <c r="I396">
        <v>1</v>
      </c>
      <c r="J396">
        <v>1</v>
      </c>
      <c r="K396" t="s">
        <v>94</v>
      </c>
      <c r="L396" t="s">
        <v>191</v>
      </c>
      <c r="M396" t="s">
        <v>255</v>
      </c>
      <c r="N396">
        <v>12</v>
      </c>
    </row>
    <row r="397" spans="2:14" x14ac:dyDescent="0.3">
      <c r="B397">
        <v>396</v>
      </c>
      <c r="C397" t="s">
        <v>257</v>
      </c>
      <c r="D397" t="s">
        <v>30</v>
      </c>
      <c r="E397" t="s">
        <v>31</v>
      </c>
      <c r="F397" t="s">
        <v>32</v>
      </c>
      <c r="G397" t="s">
        <v>33</v>
      </c>
      <c r="H397">
        <v>22</v>
      </c>
      <c r="I397">
        <v>1</v>
      </c>
      <c r="J397">
        <v>1</v>
      </c>
      <c r="K397" t="s">
        <v>94</v>
      </c>
      <c r="L397" t="s">
        <v>191</v>
      </c>
      <c r="M397" t="s">
        <v>255</v>
      </c>
      <c r="N397">
        <v>12</v>
      </c>
    </row>
    <row r="398" spans="2:14" x14ac:dyDescent="0.3">
      <c r="B398">
        <v>397</v>
      </c>
      <c r="C398" t="s">
        <v>258</v>
      </c>
      <c r="D398" t="s">
        <v>19</v>
      </c>
      <c r="E398" t="s">
        <v>14</v>
      </c>
      <c r="F398" t="s">
        <v>15</v>
      </c>
      <c r="G398" t="s">
        <v>16</v>
      </c>
      <c r="H398">
        <v>80</v>
      </c>
      <c r="I398">
        <v>1</v>
      </c>
      <c r="J398">
        <v>2</v>
      </c>
      <c r="K398" t="s">
        <v>94</v>
      </c>
      <c r="L398" t="s">
        <v>191</v>
      </c>
      <c r="M398" t="s">
        <v>255</v>
      </c>
      <c r="N398">
        <v>12</v>
      </c>
    </row>
    <row r="399" spans="2:14" x14ac:dyDescent="0.3">
      <c r="B399">
        <v>398</v>
      </c>
      <c r="C399" t="s">
        <v>259</v>
      </c>
      <c r="D399" t="s">
        <v>13</v>
      </c>
      <c r="E399" t="s">
        <v>14</v>
      </c>
      <c r="F399" t="s">
        <v>15</v>
      </c>
      <c r="G399" t="s">
        <v>16</v>
      </c>
      <c r="H399">
        <v>130</v>
      </c>
      <c r="I399">
        <v>3</v>
      </c>
      <c r="J399">
        <v>1</v>
      </c>
      <c r="K399" t="s">
        <v>94</v>
      </c>
      <c r="L399" t="s">
        <v>191</v>
      </c>
      <c r="M399" t="s">
        <v>255</v>
      </c>
      <c r="N399">
        <v>12</v>
      </c>
    </row>
    <row r="400" spans="2:14" x14ac:dyDescent="0.3">
      <c r="B400">
        <v>399</v>
      </c>
      <c r="C400" t="s">
        <v>260</v>
      </c>
      <c r="D400" t="s">
        <v>19</v>
      </c>
      <c r="E400" t="s">
        <v>14</v>
      </c>
      <c r="F400" t="s">
        <v>15</v>
      </c>
      <c r="G400" t="s">
        <v>16</v>
      </c>
      <c r="H400">
        <v>85</v>
      </c>
      <c r="I400">
        <v>1</v>
      </c>
      <c r="J400">
        <v>0</v>
      </c>
      <c r="K400" t="s">
        <v>94</v>
      </c>
      <c r="L400" t="s">
        <v>191</v>
      </c>
      <c r="M400" t="s">
        <v>255</v>
      </c>
      <c r="N400">
        <v>12</v>
      </c>
    </row>
    <row r="401" spans="2:14" x14ac:dyDescent="0.3">
      <c r="B401">
        <v>400</v>
      </c>
      <c r="C401" t="s">
        <v>261</v>
      </c>
      <c r="D401" t="s">
        <v>23</v>
      </c>
      <c r="E401" t="s">
        <v>14</v>
      </c>
      <c r="F401" t="s">
        <v>15</v>
      </c>
      <c r="G401" t="s">
        <v>16</v>
      </c>
      <c r="H401">
        <v>50</v>
      </c>
      <c r="I401">
        <v>1</v>
      </c>
      <c r="J401">
        <v>1</v>
      </c>
      <c r="K401" t="s">
        <v>94</v>
      </c>
      <c r="L401" t="s">
        <v>191</v>
      </c>
      <c r="M401" t="s">
        <v>255</v>
      </c>
      <c r="N401">
        <v>12</v>
      </c>
    </row>
    <row r="402" spans="2:14" x14ac:dyDescent="0.3">
      <c r="B402">
        <v>401</v>
      </c>
      <c r="C402" t="s">
        <v>262</v>
      </c>
      <c r="D402" t="s">
        <v>23</v>
      </c>
      <c r="E402" t="s">
        <v>20</v>
      </c>
      <c r="F402" t="s">
        <v>21</v>
      </c>
      <c r="G402" t="s">
        <v>22</v>
      </c>
      <c r="H402">
        <v>50</v>
      </c>
      <c r="I402">
        <v>1</v>
      </c>
      <c r="J402">
        <v>2</v>
      </c>
      <c r="K402" t="s">
        <v>94</v>
      </c>
      <c r="L402" t="s">
        <v>191</v>
      </c>
      <c r="M402" t="s">
        <v>255</v>
      </c>
      <c r="N402">
        <v>12</v>
      </c>
    </row>
    <row r="403" spans="2:14" x14ac:dyDescent="0.3">
      <c r="B403">
        <v>402</v>
      </c>
      <c r="C403" t="s">
        <v>263</v>
      </c>
      <c r="D403" t="s">
        <v>30</v>
      </c>
      <c r="E403" t="s">
        <v>14</v>
      </c>
      <c r="F403" t="s">
        <v>15</v>
      </c>
      <c r="G403" t="s">
        <v>16</v>
      </c>
      <c r="H403">
        <v>21</v>
      </c>
      <c r="I403">
        <v>1</v>
      </c>
      <c r="J403">
        <v>3</v>
      </c>
      <c r="K403" t="s">
        <v>94</v>
      </c>
      <c r="L403" t="s">
        <v>191</v>
      </c>
      <c r="M403" t="s">
        <v>255</v>
      </c>
      <c r="N403">
        <v>12</v>
      </c>
    </row>
    <row r="404" spans="2:14" x14ac:dyDescent="0.3">
      <c r="B404">
        <v>403</v>
      </c>
      <c r="C404" t="s">
        <v>264</v>
      </c>
      <c r="D404" t="s">
        <v>23</v>
      </c>
      <c r="E404" t="s">
        <v>14</v>
      </c>
      <c r="F404" t="s">
        <v>15</v>
      </c>
      <c r="G404" t="s">
        <v>16</v>
      </c>
      <c r="H404">
        <v>35</v>
      </c>
      <c r="I404">
        <v>2</v>
      </c>
      <c r="J404">
        <v>1</v>
      </c>
      <c r="K404" t="s">
        <v>94</v>
      </c>
      <c r="L404" t="s">
        <v>191</v>
      </c>
      <c r="M404" t="s">
        <v>255</v>
      </c>
      <c r="N404">
        <v>12</v>
      </c>
    </row>
    <row r="405" spans="2:14" x14ac:dyDescent="0.3">
      <c r="B405">
        <v>404</v>
      </c>
      <c r="C405" t="s">
        <v>265</v>
      </c>
      <c r="D405" t="s">
        <v>30</v>
      </c>
      <c r="E405" t="s">
        <v>20</v>
      </c>
      <c r="F405" t="s">
        <v>21</v>
      </c>
      <c r="G405" t="s">
        <v>22</v>
      </c>
      <c r="H405">
        <v>32</v>
      </c>
      <c r="I405">
        <v>3</v>
      </c>
      <c r="J405">
        <v>0</v>
      </c>
      <c r="K405" t="s">
        <v>94</v>
      </c>
      <c r="L405" t="s">
        <v>191</v>
      </c>
      <c r="M405" t="s">
        <v>255</v>
      </c>
      <c r="N405">
        <v>12</v>
      </c>
    </row>
    <row r="406" spans="2:14" x14ac:dyDescent="0.3">
      <c r="B406">
        <v>405</v>
      </c>
      <c r="C406" t="s">
        <v>266</v>
      </c>
      <c r="D406" t="s">
        <v>13</v>
      </c>
      <c r="E406" t="s">
        <v>14</v>
      </c>
      <c r="F406" t="s">
        <v>15</v>
      </c>
      <c r="G406" t="s">
        <v>16</v>
      </c>
      <c r="H406">
        <v>122</v>
      </c>
      <c r="I406">
        <v>1</v>
      </c>
      <c r="J406">
        <v>3</v>
      </c>
      <c r="K406" t="s">
        <v>94</v>
      </c>
      <c r="L406" t="s">
        <v>191</v>
      </c>
      <c r="M406" t="s">
        <v>255</v>
      </c>
      <c r="N406">
        <v>12</v>
      </c>
    </row>
    <row r="407" spans="2:14" x14ac:dyDescent="0.3">
      <c r="B407">
        <v>406</v>
      </c>
      <c r="C407" t="s">
        <v>267</v>
      </c>
      <c r="D407" t="s">
        <v>26</v>
      </c>
      <c r="E407" t="s">
        <v>20</v>
      </c>
      <c r="F407" t="s">
        <v>21</v>
      </c>
      <c r="G407" t="s">
        <v>22</v>
      </c>
      <c r="H407">
        <v>32</v>
      </c>
      <c r="I407">
        <v>2</v>
      </c>
      <c r="J407">
        <v>4</v>
      </c>
      <c r="K407" t="s">
        <v>94</v>
      </c>
      <c r="L407" t="s">
        <v>191</v>
      </c>
      <c r="M407" t="s">
        <v>255</v>
      </c>
      <c r="N407">
        <v>12</v>
      </c>
    </row>
    <row r="408" spans="2:14" x14ac:dyDescent="0.3">
      <c r="B408">
        <v>407</v>
      </c>
      <c r="C408" t="s">
        <v>268</v>
      </c>
      <c r="D408" t="s">
        <v>13</v>
      </c>
      <c r="E408" t="s">
        <v>31</v>
      </c>
      <c r="F408" t="s">
        <v>32</v>
      </c>
      <c r="G408" t="s">
        <v>33</v>
      </c>
      <c r="H408">
        <v>130</v>
      </c>
      <c r="I408">
        <v>1</v>
      </c>
      <c r="J408">
        <v>5</v>
      </c>
      <c r="K408" t="s">
        <v>94</v>
      </c>
      <c r="L408" t="s">
        <v>191</v>
      </c>
      <c r="M408" t="s">
        <v>255</v>
      </c>
      <c r="N408">
        <v>12</v>
      </c>
    </row>
    <row r="409" spans="2:14" x14ac:dyDescent="0.3">
      <c r="B409">
        <v>408</v>
      </c>
      <c r="C409" t="s">
        <v>269</v>
      </c>
      <c r="D409" t="s">
        <v>23</v>
      </c>
      <c r="E409" t="s">
        <v>14</v>
      </c>
      <c r="F409" t="s">
        <v>15</v>
      </c>
      <c r="G409" t="s">
        <v>16</v>
      </c>
      <c r="H409">
        <v>50</v>
      </c>
      <c r="I409">
        <v>1</v>
      </c>
      <c r="J409">
        <v>1</v>
      </c>
      <c r="K409" t="s">
        <v>94</v>
      </c>
      <c r="L409" t="s">
        <v>191</v>
      </c>
      <c r="M409" t="s">
        <v>255</v>
      </c>
      <c r="N409">
        <v>12</v>
      </c>
    </row>
    <row r="410" spans="2:14" x14ac:dyDescent="0.3">
      <c r="B410">
        <v>409</v>
      </c>
      <c r="C410" t="s">
        <v>270</v>
      </c>
      <c r="D410" t="s">
        <v>30</v>
      </c>
      <c r="E410" t="s">
        <v>20</v>
      </c>
      <c r="F410" t="s">
        <v>21</v>
      </c>
      <c r="G410" t="s">
        <v>22</v>
      </c>
      <c r="H410">
        <v>37</v>
      </c>
      <c r="I410">
        <v>2</v>
      </c>
      <c r="J410">
        <v>1</v>
      </c>
      <c r="K410" t="s">
        <v>94</v>
      </c>
      <c r="L410" t="s">
        <v>191</v>
      </c>
      <c r="M410" t="s">
        <v>255</v>
      </c>
      <c r="N410">
        <v>12</v>
      </c>
    </row>
    <row r="411" spans="2:14" x14ac:dyDescent="0.3">
      <c r="B411">
        <v>410</v>
      </c>
      <c r="C411" t="s">
        <v>271</v>
      </c>
      <c r="D411" t="s">
        <v>30</v>
      </c>
      <c r="E411" t="s">
        <v>20</v>
      </c>
      <c r="F411" t="s">
        <v>21</v>
      </c>
      <c r="G411" t="s">
        <v>22</v>
      </c>
      <c r="H411">
        <v>33</v>
      </c>
      <c r="I411">
        <v>1</v>
      </c>
      <c r="J411">
        <v>1</v>
      </c>
      <c r="K411" t="s">
        <v>94</v>
      </c>
      <c r="L411" t="s">
        <v>191</v>
      </c>
      <c r="M411" t="s">
        <v>255</v>
      </c>
      <c r="N411">
        <v>12</v>
      </c>
    </row>
    <row r="412" spans="2:14" x14ac:dyDescent="0.3">
      <c r="B412">
        <v>411</v>
      </c>
      <c r="C412" t="s">
        <v>272</v>
      </c>
      <c r="D412" t="s">
        <v>30</v>
      </c>
      <c r="E412" t="s">
        <v>31</v>
      </c>
      <c r="F412" t="s">
        <v>32</v>
      </c>
      <c r="G412" t="s">
        <v>33</v>
      </c>
      <c r="H412">
        <v>32</v>
      </c>
      <c r="I412">
        <v>2</v>
      </c>
      <c r="J412">
        <v>3</v>
      </c>
      <c r="K412" t="s">
        <v>94</v>
      </c>
      <c r="L412" t="s">
        <v>191</v>
      </c>
      <c r="M412" t="s">
        <v>255</v>
      </c>
      <c r="N412">
        <v>12</v>
      </c>
    </row>
    <row r="413" spans="2:14" x14ac:dyDescent="0.3">
      <c r="B413">
        <v>412</v>
      </c>
      <c r="C413" t="s">
        <v>273</v>
      </c>
      <c r="D413" t="s">
        <v>13</v>
      </c>
      <c r="E413" t="s">
        <v>14</v>
      </c>
      <c r="F413" t="s">
        <v>15</v>
      </c>
      <c r="G413" t="s">
        <v>16</v>
      </c>
      <c r="H413">
        <v>113</v>
      </c>
      <c r="I413">
        <v>3</v>
      </c>
      <c r="J413">
        <v>1</v>
      </c>
      <c r="K413" t="s">
        <v>94</v>
      </c>
      <c r="L413" t="s">
        <v>191</v>
      </c>
      <c r="M413" t="s">
        <v>255</v>
      </c>
      <c r="N413">
        <v>12</v>
      </c>
    </row>
    <row r="414" spans="2:14" x14ac:dyDescent="0.3">
      <c r="B414">
        <v>413</v>
      </c>
      <c r="C414" t="s">
        <v>274</v>
      </c>
      <c r="D414" t="s">
        <v>23</v>
      </c>
      <c r="E414" t="s">
        <v>14</v>
      </c>
      <c r="F414" t="s">
        <v>15</v>
      </c>
      <c r="G414" t="s">
        <v>16</v>
      </c>
      <c r="H414">
        <v>50</v>
      </c>
      <c r="I414">
        <v>3</v>
      </c>
      <c r="J414">
        <v>0</v>
      </c>
      <c r="K414" t="s">
        <v>94</v>
      </c>
      <c r="L414" t="s">
        <v>191</v>
      </c>
      <c r="M414" t="s">
        <v>255</v>
      </c>
      <c r="N414">
        <v>12</v>
      </c>
    </row>
    <row r="415" spans="2:14" x14ac:dyDescent="0.3">
      <c r="B415">
        <v>414</v>
      </c>
      <c r="C415" t="s">
        <v>275</v>
      </c>
      <c r="D415" t="s">
        <v>26</v>
      </c>
      <c r="E415" t="s">
        <v>20</v>
      </c>
      <c r="F415" t="s">
        <v>21</v>
      </c>
      <c r="G415" t="s">
        <v>22</v>
      </c>
      <c r="H415">
        <v>30</v>
      </c>
      <c r="I415">
        <v>1</v>
      </c>
      <c r="J415">
        <v>3</v>
      </c>
      <c r="K415" t="s">
        <v>94</v>
      </c>
      <c r="L415" t="s">
        <v>191</v>
      </c>
      <c r="M415" t="s">
        <v>255</v>
      </c>
      <c r="N415">
        <v>12</v>
      </c>
    </row>
    <row r="416" spans="2:14" x14ac:dyDescent="0.3">
      <c r="B416">
        <v>415</v>
      </c>
      <c r="C416" t="s">
        <v>276</v>
      </c>
      <c r="D416" t="s">
        <v>30</v>
      </c>
      <c r="E416" t="s">
        <v>14</v>
      </c>
      <c r="F416" t="s">
        <v>15</v>
      </c>
      <c r="G416" t="s">
        <v>16</v>
      </c>
      <c r="H416">
        <v>31</v>
      </c>
      <c r="I416">
        <v>2</v>
      </c>
      <c r="J416">
        <v>1</v>
      </c>
      <c r="K416" t="s">
        <v>94</v>
      </c>
      <c r="L416" t="s">
        <v>191</v>
      </c>
      <c r="M416" t="s">
        <v>255</v>
      </c>
      <c r="N416">
        <v>12</v>
      </c>
    </row>
    <row r="417" spans="2:14" x14ac:dyDescent="0.3">
      <c r="B417">
        <v>416</v>
      </c>
      <c r="C417" t="s">
        <v>277</v>
      </c>
      <c r="D417" t="s">
        <v>19</v>
      </c>
      <c r="E417" t="s">
        <v>20</v>
      </c>
      <c r="F417" t="s">
        <v>21</v>
      </c>
      <c r="G417" t="s">
        <v>22</v>
      </c>
      <c r="H417">
        <v>90</v>
      </c>
      <c r="I417">
        <v>1</v>
      </c>
      <c r="J417">
        <v>1</v>
      </c>
      <c r="K417" t="s">
        <v>94</v>
      </c>
      <c r="L417" t="s">
        <v>191</v>
      </c>
      <c r="M417" t="s">
        <v>255</v>
      </c>
      <c r="N417">
        <v>12</v>
      </c>
    </row>
    <row r="418" spans="2:14" x14ac:dyDescent="0.3">
      <c r="B418">
        <v>417</v>
      </c>
      <c r="C418" t="s">
        <v>278</v>
      </c>
      <c r="D418" t="s">
        <v>13</v>
      </c>
      <c r="E418" t="s">
        <v>14</v>
      </c>
      <c r="F418" t="s">
        <v>15</v>
      </c>
      <c r="G418" t="s">
        <v>16</v>
      </c>
      <c r="H418">
        <v>117</v>
      </c>
      <c r="I418">
        <v>1</v>
      </c>
      <c r="J418">
        <v>0</v>
      </c>
      <c r="K418" t="s">
        <v>94</v>
      </c>
      <c r="L418" t="s">
        <v>191</v>
      </c>
      <c r="M418" t="s">
        <v>255</v>
      </c>
      <c r="N418">
        <v>12</v>
      </c>
    </row>
    <row r="419" spans="2:14" x14ac:dyDescent="0.3">
      <c r="B419">
        <v>418</v>
      </c>
      <c r="C419" t="s">
        <v>279</v>
      </c>
      <c r="D419" t="s">
        <v>30</v>
      </c>
      <c r="E419" t="s">
        <v>31</v>
      </c>
      <c r="F419" t="s">
        <v>32</v>
      </c>
      <c r="G419" t="s">
        <v>33</v>
      </c>
      <c r="H419">
        <v>30</v>
      </c>
      <c r="I419">
        <v>2</v>
      </c>
      <c r="J419">
        <v>2</v>
      </c>
      <c r="K419" t="s">
        <v>94</v>
      </c>
      <c r="L419" t="s">
        <v>191</v>
      </c>
      <c r="M419" t="s">
        <v>255</v>
      </c>
      <c r="N419">
        <v>12</v>
      </c>
    </row>
    <row r="420" spans="2:14" x14ac:dyDescent="0.3">
      <c r="B420">
        <v>419</v>
      </c>
      <c r="C420" t="s">
        <v>280</v>
      </c>
      <c r="D420" t="s">
        <v>19</v>
      </c>
      <c r="E420" t="s">
        <v>14</v>
      </c>
      <c r="F420" t="s">
        <v>15</v>
      </c>
      <c r="G420" t="s">
        <v>16</v>
      </c>
      <c r="H420">
        <v>100</v>
      </c>
      <c r="I420">
        <v>1</v>
      </c>
      <c r="J420">
        <v>0</v>
      </c>
      <c r="K420" t="s">
        <v>94</v>
      </c>
      <c r="L420" t="s">
        <v>191</v>
      </c>
      <c r="M420" t="s">
        <v>255</v>
      </c>
      <c r="N420">
        <v>12</v>
      </c>
    </row>
    <row r="421" spans="2:14" x14ac:dyDescent="0.3">
      <c r="B421">
        <v>420</v>
      </c>
      <c r="C421" t="s">
        <v>281</v>
      </c>
      <c r="D421" t="s">
        <v>23</v>
      </c>
      <c r="E421" t="s">
        <v>20</v>
      </c>
      <c r="F421" t="s">
        <v>21</v>
      </c>
      <c r="G421" t="s">
        <v>22</v>
      </c>
      <c r="H421">
        <v>50</v>
      </c>
      <c r="I421">
        <v>4</v>
      </c>
      <c r="J421">
        <v>1</v>
      </c>
      <c r="K421" t="s">
        <v>94</v>
      </c>
      <c r="L421" t="s">
        <v>191</v>
      </c>
      <c r="M421" t="s">
        <v>255</v>
      </c>
      <c r="N421">
        <v>12</v>
      </c>
    </row>
    <row r="422" spans="2:14" x14ac:dyDescent="0.3">
      <c r="B422">
        <v>421</v>
      </c>
      <c r="C422" t="s">
        <v>282</v>
      </c>
      <c r="D422" t="s">
        <v>13</v>
      </c>
      <c r="E422" t="s">
        <v>20</v>
      </c>
      <c r="F422" t="s">
        <v>21</v>
      </c>
      <c r="G422" t="s">
        <v>22</v>
      </c>
      <c r="H422">
        <v>119</v>
      </c>
      <c r="I422">
        <v>2</v>
      </c>
      <c r="J422">
        <v>2</v>
      </c>
      <c r="K422" t="s">
        <v>94</v>
      </c>
      <c r="L422" t="s">
        <v>191</v>
      </c>
      <c r="M422" t="s">
        <v>255</v>
      </c>
      <c r="N422">
        <v>12</v>
      </c>
    </row>
    <row r="423" spans="2:14" x14ac:dyDescent="0.3">
      <c r="B423">
        <v>422</v>
      </c>
      <c r="C423" t="s">
        <v>283</v>
      </c>
      <c r="D423" t="s">
        <v>30</v>
      </c>
      <c r="E423" t="s">
        <v>14</v>
      </c>
      <c r="F423" t="s">
        <v>15</v>
      </c>
      <c r="G423" t="s">
        <v>16</v>
      </c>
      <c r="H423">
        <v>29</v>
      </c>
      <c r="I423">
        <v>1</v>
      </c>
      <c r="J423">
        <v>2</v>
      </c>
      <c r="K423" t="s">
        <v>94</v>
      </c>
      <c r="L423" t="s">
        <v>191</v>
      </c>
      <c r="M423" t="s">
        <v>255</v>
      </c>
      <c r="N423">
        <v>12</v>
      </c>
    </row>
    <row r="424" spans="2:14" x14ac:dyDescent="0.3">
      <c r="B424">
        <v>423</v>
      </c>
      <c r="C424" t="s">
        <v>284</v>
      </c>
      <c r="D424" t="s">
        <v>23</v>
      </c>
      <c r="E424" t="s">
        <v>20</v>
      </c>
      <c r="F424" t="s">
        <v>21</v>
      </c>
      <c r="G424" t="s">
        <v>22</v>
      </c>
      <c r="H424">
        <v>35</v>
      </c>
      <c r="I424">
        <v>1</v>
      </c>
      <c r="J424">
        <v>5</v>
      </c>
      <c r="K424" t="s">
        <v>94</v>
      </c>
      <c r="L424" t="s">
        <v>191</v>
      </c>
      <c r="M424" t="s">
        <v>255</v>
      </c>
      <c r="N424">
        <v>12</v>
      </c>
    </row>
    <row r="425" spans="2:14" x14ac:dyDescent="0.3">
      <c r="B425">
        <v>424</v>
      </c>
      <c r="C425" t="s">
        <v>285</v>
      </c>
      <c r="D425" t="s">
        <v>19</v>
      </c>
      <c r="E425" t="s">
        <v>14</v>
      </c>
      <c r="F425" t="s">
        <v>15</v>
      </c>
      <c r="G425" t="s">
        <v>16</v>
      </c>
      <c r="H425">
        <v>99</v>
      </c>
      <c r="I425">
        <v>3</v>
      </c>
      <c r="J425">
        <v>2</v>
      </c>
      <c r="K425" t="s">
        <v>94</v>
      </c>
      <c r="L425" t="s">
        <v>191</v>
      </c>
      <c r="M425" t="s">
        <v>255</v>
      </c>
      <c r="N425">
        <v>12</v>
      </c>
    </row>
    <row r="426" spans="2:14" x14ac:dyDescent="0.3">
      <c r="B426">
        <v>425</v>
      </c>
      <c r="C426" t="s">
        <v>286</v>
      </c>
      <c r="D426" t="s">
        <v>13</v>
      </c>
      <c r="E426" t="s">
        <v>20</v>
      </c>
      <c r="F426" t="s">
        <v>21</v>
      </c>
      <c r="G426" t="s">
        <v>22</v>
      </c>
      <c r="H426">
        <v>119</v>
      </c>
      <c r="I426">
        <v>1</v>
      </c>
      <c r="J426">
        <v>1</v>
      </c>
      <c r="K426" t="s">
        <v>94</v>
      </c>
      <c r="L426" t="s">
        <v>287</v>
      </c>
      <c r="M426" t="s">
        <v>288</v>
      </c>
      <c r="N426">
        <v>1</v>
      </c>
    </row>
    <row r="427" spans="2:14" x14ac:dyDescent="0.3">
      <c r="B427">
        <v>426</v>
      </c>
      <c r="C427" t="s">
        <v>289</v>
      </c>
      <c r="D427" t="s">
        <v>26</v>
      </c>
      <c r="E427" t="s">
        <v>20</v>
      </c>
      <c r="F427" t="s">
        <v>21</v>
      </c>
      <c r="G427" t="s">
        <v>22</v>
      </c>
      <c r="H427">
        <v>30</v>
      </c>
      <c r="I427">
        <v>1</v>
      </c>
      <c r="J427">
        <v>1</v>
      </c>
      <c r="K427" t="s">
        <v>94</v>
      </c>
      <c r="L427" t="s">
        <v>287</v>
      </c>
      <c r="M427" t="s">
        <v>288</v>
      </c>
      <c r="N427">
        <v>1</v>
      </c>
    </row>
    <row r="428" spans="2:14" x14ac:dyDescent="0.3">
      <c r="B428">
        <v>427</v>
      </c>
      <c r="C428" t="s">
        <v>290</v>
      </c>
      <c r="D428" t="s">
        <v>30</v>
      </c>
      <c r="E428" t="s">
        <v>31</v>
      </c>
      <c r="F428" t="s">
        <v>32</v>
      </c>
      <c r="G428" t="s">
        <v>33</v>
      </c>
      <c r="H428">
        <v>27</v>
      </c>
      <c r="I428">
        <v>2</v>
      </c>
      <c r="J428">
        <v>2</v>
      </c>
      <c r="K428" t="s">
        <v>94</v>
      </c>
      <c r="L428" t="s">
        <v>287</v>
      </c>
      <c r="M428" t="s">
        <v>288</v>
      </c>
      <c r="N428">
        <v>1</v>
      </c>
    </row>
    <row r="429" spans="2:14" x14ac:dyDescent="0.3">
      <c r="B429">
        <v>428</v>
      </c>
      <c r="C429" t="s">
        <v>291</v>
      </c>
      <c r="D429" t="s">
        <v>19</v>
      </c>
      <c r="E429" t="s">
        <v>31</v>
      </c>
      <c r="F429" t="s">
        <v>32</v>
      </c>
      <c r="G429" t="s">
        <v>33</v>
      </c>
      <c r="H429">
        <v>90</v>
      </c>
      <c r="I429">
        <v>1</v>
      </c>
      <c r="J429">
        <v>1</v>
      </c>
      <c r="K429" t="s">
        <v>94</v>
      </c>
      <c r="L429" t="s">
        <v>287</v>
      </c>
      <c r="M429" t="s">
        <v>288</v>
      </c>
      <c r="N429">
        <v>1</v>
      </c>
    </row>
    <row r="430" spans="2:14" x14ac:dyDescent="0.3">
      <c r="B430">
        <v>429</v>
      </c>
      <c r="C430" t="s">
        <v>292</v>
      </c>
      <c r="D430" t="s">
        <v>19</v>
      </c>
      <c r="E430" t="s">
        <v>14</v>
      </c>
      <c r="F430" t="s">
        <v>15</v>
      </c>
      <c r="G430" t="s">
        <v>16</v>
      </c>
      <c r="H430">
        <v>93</v>
      </c>
      <c r="I430">
        <v>3</v>
      </c>
      <c r="J430">
        <v>1</v>
      </c>
      <c r="K430" t="s">
        <v>94</v>
      </c>
      <c r="L430" t="s">
        <v>287</v>
      </c>
      <c r="M430" t="s">
        <v>288</v>
      </c>
      <c r="N430">
        <v>1</v>
      </c>
    </row>
    <row r="431" spans="2:14" x14ac:dyDescent="0.3">
      <c r="B431">
        <v>430</v>
      </c>
      <c r="C431" t="s">
        <v>293</v>
      </c>
      <c r="D431" t="s">
        <v>19</v>
      </c>
      <c r="E431" t="s">
        <v>20</v>
      </c>
      <c r="F431" t="s">
        <v>21</v>
      </c>
      <c r="G431" t="s">
        <v>22</v>
      </c>
      <c r="H431">
        <v>93</v>
      </c>
      <c r="I431">
        <v>1</v>
      </c>
      <c r="J431">
        <v>1</v>
      </c>
      <c r="K431" t="s">
        <v>94</v>
      </c>
      <c r="L431" t="s">
        <v>287</v>
      </c>
      <c r="M431" t="s">
        <v>288</v>
      </c>
      <c r="N431">
        <v>1</v>
      </c>
    </row>
    <row r="432" spans="2:14" x14ac:dyDescent="0.3">
      <c r="B432">
        <v>431</v>
      </c>
      <c r="C432" t="s">
        <v>294</v>
      </c>
      <c r="D432" t="s">
        <v>30</v>
      </c>
      <c r="E432" t="s">
        <v>31</v>
      </c>
      <c r="F432" t="s">
        <v>32</v>
      </c>
      <c r="G432" t="s">
        <v>33</v>
      </c>
      <c r="H432">
        <v>32</v>
      </c>
      <c r="I432">
        <v>1</v>
      </c>
      <c r="J432">
        <v>0</v>
      </c>
      <c r="K432" t="s">
        <v>94</v>
      </c>
      <c r="L432" t="s">
        <v>287</v>
      </c>
      <c r="M432" t="s">
        <v>288</v>
      </c>
      <c r="N432">
        <v>1</v>
      </c>
    </row>
    <row r="433" spans="2:14" x14ac:dyDescent="0.3">
      <c r="B433">
        <v>432</v>
      </c>
      <c r="C433" t="s">
        <v>295</v>
      </c>
      <c r="D433" t="s">
        <v>30</v>
      </c>
      <c r="E433" t="s">
        <v>20</v>
      </c>
      <c r="F433" t="s">
        <v>21</v>
      </c>
      <c r="G433" t="s">
        <v>22</v>
      </c>
      <c r="H433">
        <v>50</v>
      </c>
      <c r="I433">
        <v>3</v>
      </c>
      <c r="J433">
        <v>1</v>
      </c>
      <c r="K433" t="s">
        <v>94</v>
      </c>
      <c r="L433" t="s">
        <v>287</v>
      </c>
      <c r="M433" t="s">
        <v>288</v>
      </c>
      <c r="N433">
        <v>1</v>
      </c>
    </row>
    <row r="434" spans="2:14" x14ac:dyDescent="0.3">
      <c r="B434">
        <v>433</v>
      </c>
      <c r="C434" t="s">
        <v>296</v>
      </c>
      <c r="D434" t="s">
        <v>13</v>
      </c>
      <c r="E434" t="s">
        <v>14</v>
      </c>
      <c r="F434" t="s">
        <v>15</v>
      </c>
      <c r="G434" t="s">
        <v>16</v>
      </c>
      <c r="H434">
        <v>105</v>
      </c>
      <c r="I434">
        <v>3</v>
      </c>
      <c r="J434">
        <v>2</v>
      </c>
      <c r="K434" t="s">
        <v>94</v>
      </c>
      <c r="L434" t="s">
        <v>287</v>
      </c>
      <c r="M434" t="s">
        <v>288</v>
      </c>
      <c r="N434">
        <v>1</v>
      </c>
    </row>
    <row r="435" spans="2:14" x14ac:dyDescent="0.3">
      <c r="B435">
        <v>434</v>
      </c>
      <c r="C435" t="s">
        <v>297</v>
      </c>
      <c r="D435" t="s">
        <v>26</v>
      </c>
      <c r="E435" t="s">
        <v>14</v>
      </c>
      <c r="F435" t="s">
        <v>15</v>
      </c>
      <c r="G435" t="s">
        <v>16</v>
      </c>
      <c r="H435">
        <v>30</v>
      </c>
      <c r="I435">
        <v>1</v>
      </c>
      <c r="J435">
        <v>1</v>
      </c>
      <c r="K435" t="s">
        <v>94</v>
      </c>
      <c r="L435" t="s">
        <v>287</v>
      </c>
      <c r="M435" t="s">
        <v>288</v>
      </c>
      <c r="N435">
        <v>1</v>
      </c>
    </row>
    <row r="436" spans="2:14" x14ac:dyDescent="0.3">
      <c r="B436">
        <v>435</v>
      </c>
      <c r="C436" t="s">
        <v>298</v>
      </c>
      <c r="D436" t="s">
        <v>26</v>
      </c>
      <c r="E436" t="s">
        <v>20</v>
      </c>
      <c r="F436" t="s">
        <v>21</v>
      </c>
      <c r="G436" t="s">
        <v>22</v>
      </c>
      <c r="H436">
        <v>32</v>
      </c>
      <c r="I436">
        <v>1</v>
      </c>
      <c r="J436">
        <v>0</v>
      </c>
      <c r="K436" t="s">
        <v>94</v>
      </c>
      <c r="L436" t="s">
        <v>287</v>
      </c>
      <c r="M436" t="s">
        <v>288</v>
      </c>
      <c r="N436">
        <v>1</v>
      </c>
    </row>
    <row r="437" spans="2:14" x14ac:dyDescent="0.3">
      <c r="B437">
        <v>436</v>
      </c>
      <c r="C437" t="s">
        <v>299</v>
      </c>
      <c r="D437" t="s">
        <v>30</v>
      </c>
      <c r="E437" t="s">
        <v>14</v>
      </c>
      <c r="F437" t="s">
        <v>15</v>
      </c>
      <c r="G437" t="s">
        <v>16</v>
      </c>
      <c r="H437">
        <v>45</v>
      </c>
      <c r="I437">
        <v>1</v>
      </c>
      <c r="J437">
        <v>1</v>
      </c>
      <c r="K437" t="s">
        <v>94</v>
      </c>
      <c r="L437" t="s">
        <v>287</v>
      </c>
      <c r="M437" t="s">
        <v>288</v>
      </c>
      <c r="N437">
        <v>1</v>
      </c>
    </row>
    <row r="438" spans="2:14" x14ac:dyDescent="0.3">
      <c r="B438">
        <v>437</v>
      </c>
      <c r="C438" t="s">
        <v>300</v>
      </c>
      <c r="D438" t="s">
        <v>23</v>
      </c>
      <c r="E438" t="s">
        <v>20</v>
      </c>
      <c r="F438" t="s">
        <v>21</v>
      </c>
      <c r="G438" t="s">
        <v>22</v>
      </c>
      <c r="H438">
        <v>50</v>
      </c>
      <c r="I438">
        <v>3</v>
      </c>
      <c r="J438">
        <v>0</v>
      </c>
      <c r="K438" t="s">
        <v>94</v>
      </c>
      <c r="L438" t="s">
        <v>287</v>
      </c>
      <c r="M438" t="s">
        <v>288</v>
      </c>
      <c r="N438">
        <v>1</v>
      </c>
    </row>
    <row r="439" spans="2:14" x14ac:dyDescent="0.3">
      <c r="B439">
        <v>438</v>
      </c>
      <c r="C439" t="s">
        <v>301</v>
      </c>
      <c r="D439" t="s">
        <v>26</v>
      </c>
      <c r="E439" t="s">
        <v>20</v>
      </c>
      <c r="F439" t="s">
        <v>21</v>
      </c>
      <c r="G439" t="s">
        <v>22</v>
      </c>
      <c r="H439">
        <v>30</v>
      </c>
      <c r="I439">
        <v>2</v>
      </c>
      <c r="J439">
        <v>1</v>
      </c>
      <c r="K439" t="s">
        <v>94</v>
      </c>
      <c r="L439" t="s">
        <v>287</v>
      </c>
      <c r="M439" t="s">
        <v>288</v>
      </c>
      <c r="N439">
        <v>1</v>
      </c>
    </row>
    <row r="440" spans="2:14" x14ac:dyDescent="0.3">
      <c r="B440">
        <v>439</v>
      </c>
      <c r="C440" t="s">
        <v>302</v>
      </c>
      <c r="D440" t="s">
        <v>19</v>
      </c>
      <c r="E440" t="s">
        <v>31</v>
      </c>
      <c r="F440" t="s">
        <v>32</v>
      </c>
      <c r="G440" t="s">
        <v>33</v>
      </c>
      <c r="H440">
        <v>90</v>
      </c>
      <c r="I440">
        <v>1</v>
      </c>
      <c r="J440">
        <v>3</v>
      </c>
      <c r="K440" t="s">
        <v>94</v>
      </c>
      <c r="L440" t="s">
        <v>287</v>
      </c>
      <c r="M440" t="s">
        <v>288</v>
      </c>
      <c r="N440">
        <v>1</v>
      </c>
    </row>
    <row r="441" spans="2:14" x14ac:dyDescent="0.3">
      <c r="B441">
        <v>440</v>
      </c>
      <c r="C441" t="s">
        <v>303</v>
      </c>
      <c r="D441" t="s">
        <v>26</v>
      </c>
      <c r="E441" t="s">
        <v>14</v>
      </c>
      <c r="F441" t="s">
        <v>15</v>
      </c>
      <c r="G441" t="s">
        <v>16</v>
      </c>
      <c r="H441">
        <v>28</v>
      </c>
      <c r="I441">
        <v>1</v>
      </c>
      <c r="J441">
        <v>1</v>
      </c>
      <c r="K441" t="s">
        <v>94</v>
      </c>
      <c r="L441" t="s">
        <v>287</v>
      </c>
      <c r="M441" t="s">
        <v>288</v>
      </c>
      <c r="N441">
        <v>1</v>
      </c>
    </row>
    <row r="442" spans="2:14" x14ac:dyDescent="0.3">
      <c r="B442">
        <v>441</v>
      </c>
      <c r="C442" t="s">
        <v>304</v>
      </c>
      <c r="D442" t="s">
        <v>23</v>
      </c>
      <c r="E442" t="s">
        <v>14</v>
      </c>
      <c r="F442" t="s">
        <v>15</v>
      </c>
      <c r="G442" t="s">
        <v>16</v>
      </c>
      <c r="H442">
        <v>34</v>
      </c>
      <c r="I442">
        <v>2</v>
      </c>
      <c r="J442">
        <v>1</v>
      </c>
      <c r="K442" t="s">
        <v>94</v>
      </c>
      <c r="L442" t="s">
        <v>287</v>
      </c>
      <c r="M442" t="s">
        <v>288</v>
      </c>
      <c r="N442">
        <v>1</v>
      </c>
    </row>
    <row r="443" spans="2:14" x14ac:dyDescent="0.3">
      <c r="B443">
        <v>442</v>
      </c>
      <c r="C443" t="s">
        <v>305</v>
      </c>
      <c r="D443" t="s">
        <v>30</v>
      </c>
      <c r="E443" t="s">
        <v>14</v>
      </c>
      <c r="F443" t="s">
        <v>15</v>
      </c>
      <c r="G443" t="s">
        <v>16</v>
      </c>
      <c r="H443">
        <v>44</v>
      </c>
      <c r="I443">
        <v>4</v>
      </c>
      <c r="J443">
        <v>2</v>
      </c>
      <c r="K443" t="s">
        <v>94</v>
      </c>
      <c r="L443" t="s">
        <v>287</v>
      </c>
      <c r="M443" t="s">
        <v>288</v>
      </c>
      <c r="N443">
        <v>1</v>
      </c>
    </row>
    <row r="444" spans="2:14" x14ac:dyDescent="0.3">
      <c r="B444">
        <v>443</v>
      </c>
      <c r="C444" t="s">
        <v>306</v>
      </c>
      <c r="D444" t="s">
        <v>23</v>
      </c>
      <c r="E444" t="s">
        <v>14</v>
      </c>
      <c r="F444" t="s">
        <v>15</v>
      </c>
      <c r="G444" t="s">
        <v>16</v>
      </c>
      <c r="H444">
        <v>50</v>
      </c>
      <c r="I444">
        <v>1</v>
      </c>
      <c r="J444">
        <v>0</v>
      </c>
      <c r="K444" t="s">
        <v>94</v>
      </c>
      <c r="L444" t="s">
        <v>287</v>
      </c>
      <c r="M444" t="s">
        <v>288</v>
      </c>
      <c r="N444">
        <v>1</v>
      </c>
    </row>
    <row r="445" spans="2:14" x14ac:dyDescent="0.3">
      <c r="B445">
        <v>444</v>
      </c>
      <c r="C445" t="s">
        <v>307</v>
      </c>
      <c r="D445" t="s">
        <v>19</v>
      </c>
      <c r="E445" t="s">
        <v>14</v>
      </c>
      <c r="F445" t="s">
        <v>15</v>
      </c>
      <c r="G445" t="s">
        <v>16</v>
      </c>
      <c r="H445">
        <v>97</v>
      </c>
      <c r="I445">
        <v>4</v>
      </c>
      <c r="J445">
        <v>2</v>
      </c>
      <c r="K445" t="s">
        <v>94</v>
      </c>
      <c r="L445" t="s">
        <v>287</v>
      </c>
      <c r="M445" t="s">
        <v>288</v>
      </c>
      <c r="N445">
        <v>1</v>
      </c>
    </row>
    <row r="446" spans="2:14" x14ac:dyDescent="0.3">
      <c r="B446">
        <v>445</v>
      </c>
      <c r="C446" t="s">
        <v>308</v>
      </c>
      <c r="D446" t="s">
        <v>23</v>
      </c>
      <c r="E446" t="s">
        <v>31</v>
      </c>
      <c r="F446" t="s">
        <v>32</v>
      </c>
      <c r="G446" t="s">
        <v>33</v>
      </c>
      <c r="H446">
        <v>50</v>
      </c>
      <c r="I446">
        <v>1</v>
      </c>
      <c r="J446">
        <v>1</v>
      </c>
      <c r="K446" t="s">
        <v>94</v>
      </c>
      <c r="L446" t="s">
        <v>287</v>
      </c>
      <c r="M446" t="s">
        <v>288</v>
      </c>
      <c r="N446">
        <v>1</v>
      </c>
    </row>
    <row r="447" spans="2:14" x14ac:dyDescent="0.3">
      <c r="B447">
        <v>446</v>
      </c>
      <c r="C447" t="s">
        <v>309</v>
      </c>
      <c r="D447" t="s">
        <v>13</v>
      </c>
      <c r="E447" t="s">
        <v>14</v>
      </c>
      <c r="F447" t="s">
        <v>15</v>
      </c>
      <c r="G447" t="s">
        <v>16</v>
      </c>
      <c r="H447">
        <v>105</v>
      </c>
      <c r="I447">
        <v>1</v>
      </c>
      <c r="J447">
        <v>1</v>
      </c>
      <c r="K447" t="s">
        <v>94</v>
      </c>
      <c r="L447" t="s">
        <v>287</v>
      </c>
      <c r="M447" t="s">
        <v>288</v>
      </c>
      <c r="N447">
        <v>1</v>
      </c>
    </row>
    <row r="448" spans="2:14" x14ac:dyDescent="0.3">
      <c r="B448">
        <v>447</v>
      </c>
      <c r="C448" t="s">
        <v>310</v>
      </c>
      <c r="D448" t="s">
        <v>30</v>
      </c>
      <c r="E448" t="s">
        <v>20</v>
      </c>
      <c r="F448" t="s">
        <v>21</v>
      </c>
      <c r="G448" t="s">
        <v>22</v>
      </c>
      <c r="H448">
        <v>47</v>
      </c>
      <c r="I448">
        <v>1</v>
      </c>
      <c r="J448">
        <v>2</v>
      </c>
      <c r="K448" t="s">
        <v>94</v>
      </c>
      <c r="L448" t="s">
        <v>287</v>
      </c>
      <c r="M448" t="s">
        <v>288</v>
      </c>
      <c r="N448">
        <v>1</v>
      </c>
    </row>
    <row r="449" spans="2:14" x14ac:dyDescent="0.3">
      <c r="B449">
        <v>448</v>
      </c>
      <c r="C449" t="s">
        <v>311</v>
      </c>
      <c r="D449" t="s">
        <v>13</v>
      </c>
      <c r="E449" t="s">
        <v>14</v>
      </c>
      <c r="F449" t="s">
        <v>15</v>
      </c>
      <c r="G449" t="s">
        <v>16</v>
      </c>
      <c r="H449">
        <v>111</v>
      </c>
      <c r="I449">
        <v>3</v>
      </c>
      <c r="J449">
        <v>0</v>
      </c>
      <c r="K449" t="s">
        <v>94</v>
      </c>
      <c r="L449" t="s">
        <v>287</v>
      </c>
      <c r="M449" t="s">
        <v>288</v>
      </c>
      <c r="N449">
        <v>1</v>
      </c>
    </row>
    <row r="450" spans="2:14" x14ac:dyDescent="0.3">
      <c r="B450">
        <v>449</v>
      </c>
      <c r="C450" t="s">
        <v>312</v>
      </c>
      <c r="D450" t="s">
        <v>30</v>
      </c>
      <c r="E450" t="s">
        <v>20</v>
      </c>
      <c r="F450" t="s">
        <v>21</v>
      </c>
      <c r="G450" t="s">
        <v>22</v>
      </c>
      <c r="H450">
        <v>30</v>
      </c>
      <c r="I450">
        <v>1</v>
      </c>
      <c r="J450">
        <v>3</v>
      </c>
      <c r="K450" t="s">
        <v>94</v>
      </c>
      <c r="L450" t="s">
        <v>287</v>
      </c>
      <c r="M450" t="s">
        <v>288</v>
      </c>
      <c r="N450">
        <v>1</v>
      </c>
    </row>
    <row r="451" spans="2:14" x14ac:dyDescent="0.3">
      <c r="B451">
        <v>450</v>
      </c>
      <c r="C451" t="s">
        <v>313</v>
      </c>
      <c r="D451" t="s">
        <v>13</v>
      </c>
      <c r="E451" t="s">
        <v>14</v>
      </c>
      <c r="F451" t="s">
        <v>15</v>
      </c>
      <c r="G451" t="s">
        <v>16</v>
      </c>
      <c r="H451">
        <v>110</v>
      </c>
      <c r="I451">
        <v>1</v>
      </c>
      <c r="J451">
        <v>0</v>
      </c>
      <c r="K451" t="s">
        <v>94</v>
      </c>
      <c r="L451" t="s">
        <v>287</v>
      </c>
      <c r="M451" t="s">
        <v>288</v>
      </c>
      <c r="N451">
        <v>1</v>
      </c>
    </row>
    <row r="452" spans="2:14" x14ac:dyDescent="0.3">
      <c r="B452">
        <v>451</v>
      </c>
      <c r="C452" t="s">
        <v>314</v>
      </c>
      <c r="D452" t="s">
        <v>13</v>
      </c>
      <c r="E452" t="s">
        <v>20</v>
      </c>
      <c r="F452" t="s">
        <v>21</v>
      </c>
      <c r="G452" t="s">
        <v>22</v>
      </c>
      <c r="H452">
        <v>122</v>
      </c>
      <c r="I452">
        <v>1</v>
      </c>
      <c r="J452">
        <v>0</v>
      </c>
      <c r="K452" t="s">
        <v>94</v>
      </c>
      <c r="L452" t="s">
        <v>287</v>
      </c>
      <c r="M452" t="s">
        <v>288</v>
      </c>
      <c r="N452">
        <v>1</v>
      </c>
    </row>
    <row r="453" spans="2:14" x14ac:dyDescent="0.3">
      <c r="B453">
        <v>452</v>
      </c>
      <c r="C453" t="s">
        <v>315</v>
      </c>
      <c r="D453" t="s">
        <v>23</v>
      </c>
      <c r="E453" t="s">
        <v>14</v>
      </c>
      <c r="F453" t="s">
        <v>15</v>
      </c>
      <c r="G453" t="s">
        <v>16</v>
      </c>
      <c r="H453">
        <v>50</v>
      </c>
      <c r="I453">
        <v>1</v>
      </c>
      <c r="J453">
        <v>2</v>
      </c>
      <c r="K453" t="s">
        <v>94</v>
      </c>
      <c r="L453" t="s">
        <v>287</v>
      </c>
      <c r="M453" t="s">
        <v>288</v>
      </c>
      <c r="N453">
        <v>1</v>
      </c>
    </row>
    <row r="454" spans="2:14" x14ac:dyDescent="0.3">
      <c r="B454">
        <v>453</v>
      </c>
      <c r="C454" t="s">
        <v>316</v>
      </c>
      <c r="D454" t="s">
        <v>30</v>
      </c>
      <c r="E454" t="s">
        <v>31</v>
      </c>
      <c r="F454" t="s">
        <v>32</v>
      </c>
      <c r="G454" t="s">
        <v>33</v>
      </c>
      <c r="H454">
        <v>40</v>
      </c>
      <c r="I454">
        <v>3</v>
      </c>
      <c r="J454">
        <v>2</v>
      </c>
      <c r="K454" t="s">
        <v>94</v>
      </c>
      <c r="L454" t="s">
        <v>287</v>
      </c>
      <c r="M454" t="s">
        <v>288</v>
      </c>
      <c r="N454">
        <v>1</v>
      </c>
    </row>
    <row r="455" spans="2:14" x14ac:dyDescent="0.3">
      <c r="B455">
        <v>454</v>
      </c>
      <c r="C455" t="s">
        <v>317</v>
      </c>
      <c r="D455" t="s">
        <v>23</v>
      </c>
      <c r="E455" t="s">
        <v>20</v>
      </c>
      <c r="F455" t="s">
        <v>21</v>
      </c>
      <c r="G455" t="s">
        <v>22</v>
      </c>
      <c r="H455">
        <v>34</v>
      </c>
      <c r="I455">
        <v>3</v>
      </c>
      <c r="J455">
        <v>1</v>
      </c>
      <c r="K455" t="s">
        <v>94</v>
      </c>
      <c r="L455" t="s">
        <v>287</v>
      </c>
      <c r="M455" t="s">
        <v>288</v>
      </c>
      <c r="N455">
        <v>1</v>
      </c>
    </row>
    <row r="456" spans="2:14" x14ac:dyDescent="0.3">
      <c r="B456">
        <v>455</v>
      </c>
      <c r="C456" t="s">
        <v>318</v>
      </c>
      <c r="D456" t="s">
        <v>13</v>
      </c>
      <c r="E456" t="s">
        <v>14</v>
      </c>
      <c r="F456" t="s">
        <v>15</v>
      </c>
      <c r="G456" t="s">
        <v>16</v>
      </c>
      <c r="H456">
        <v>123</v>
      </c>
      <c r="I456">
        <v>2</v>
      </c>
      <c r="J456">
        <v>1</v>
      </c>
      <c r="K456" t="s">
        <v>94</v>
      </c>
      <c r="L456" t="s">
        <v>287</v>
      </c>
      <c r="M456" t="s">
        <v>288</v>
      </c>
      <c r="N456">
        <v>1</v>
      </c>
    </row>
    <row r="457" spans="2:14" x14ac:dyDescent="0.3">
      <c r="B457">
        <v>456</v>
      </c>
      <c r="C457" t="s">
        <v>319</v>
      </c>
      <c r="D457" t="s">
        <v>30</v>
      </c>
      <c r="E457" t="s">
        <v>14</v>
      </c>
      <c r="F457" t="s">
        <v>15</v>
      </c>
      <c r="G457" t="s">
        <v>16</v>
      </c>
      <c r="H457">
        <v>39</v>
      </c>
      <c r="I457">
        <v>4</v>
      </c>
      <c r="J457">
        <v>0</v>
      </c>
      <c r="K457" t="s">
        <v>94</v>
      </c>
      <c r="L457" t="s">
        <v>287</v>
      </c>
      <c r="M457" t="s">
        <v>320</v>
      </c>
      <c r="N457">
        <v>2</v>
      </c>
    </row>
    <row r="458" spans="2:14" x14ac:dyDescent="0.3">
      <c r="B458">
        <v>457</v>
      </c>
      <c r="C458" t="s">
        <v>321</v>
      </c>
      <c r="D458" t="s">
        <v>23</v>
      </c>
      <c r="E458" t="s">
        <v>14</v>
      </c>
      <c r="F458" t="s">
        <v>15</v>
      </c>
      <c r="G458" t="s">
        <v>16</v>
      </c>
      <c r="H458">
        <v>50</v>
      </c>
      <c r="I458">
        <v>1</v>
      </c>
      <c r="J458">
        <v>2</v>
      </c>
      <c r="K458" t="s">
        <v>94</v>
      </c>
      <c r="L458" t="s">
        <v>287</v>
      </c>
      <c r="M458" t="s">
        <v>320</v>
      </c>
      <c r="N458">
        <v>2</v>
      </c>
    </row>
    <row r="459" spans="2:14" x14ac:dyDescent="0.3">
      <c r="B459">
        <v>458</v>
      </c>
      <c r="C459" t="s">
        <v>322</v>
      </c>
      <c r="D459" t="s">
        <v>19</v>
      </c>
      <c r="E459" t="s">
        <v>14</v>
      </c>
      <c r="F459" t="s">
        <v>15</v>
      </c>
      <c r="G459" t="s">
        <v>16</v>
      </c>
      <c r="H459">
        <v>90</v>
      </c>
      <c r="I459">
        <v>1</v>
      </c>
      <c r="J459">
        <v>1</v>
      </c>
      <c r="K459" t="s">
        <v>94</v>
      </c>
      <c r="L459" t="s">
        <v>287</v>
      </c>
      <c r="M459" t="s">
        <v>320</v>
      </c>
      <c r="N459">
        <v>2</v>
      </c>
    </row>
    <row r="460" spans="2:14" x14ac:dyDescent="0.3">
      <c r="B460">
        <v>459</v>
      </c>
      <c r="C460" t="s">
        <v>323</v>
      </c>
      <c r="D460" t="s">
        <v>30</v>
      </c>
      <c r="E460" t="s">
        <v>20</v>
      </c>
      <c r="F460" t="s">
        <v>21</v>
      </c>
      <c r="G460" t="s">
        <v>22</v>
      </c>
      <c r="H460">
        <v>50</v>
      </c>
      <c r="I460">
        <v>1</v>
      </c>
      <c r="J460">
        <v>1</v>
      </c>
      <c r="K460" t="s">
        <v>94</v>
      </c>
      <c r="L460" t="s">
        <v>287</v>
      </c>
      <c r="M460" t="s">
        <v>320</v>
      </c>
      <c r="N460">
        <v>2</v>
      </c>
    </row>
    <row r="461" spans="2:14" x14ac:dyDescent="0.3">
      <c r="B461">
        <v>460</v>
      </c>
      <c r="C461" t="s">
        <v>324</v>
      </c>
      <c r="D461" t="s">
        <v>23</v>
      </c>
      <c r="E461" t="s">
        <v>20</v>
      </c>
      <c r="F461" t="s">
        <v>21</v>
      </c>
      <c r="G461" t="s">
        <v>22</v>
      </c>
      <c r="H461">
        <v>50</v>
      </c>
      <c r="I461">
        <v>1</v>
      </c>
      <c r="J461">
        <v>1</v>
      </c>
      <c r="K461" t="s">
        <v>94</v>
      </c>
      <c r="L461" t="s">
        <v>287</v>
      </c>
      <c r="M461" t="s">
        <v>320</v>
      </c>
      <c r="N461">
        <v>2</v>
      </c>
    </row>
    <row r="462" spans="2:14" x14ac:dyDescent="0.3">
      <c r="B462">
        <v>461</v>
      </c>
      <c r="C462" t="s">
        <v>325</v>
      </c>
      <c r="D462" t="s">
        <v>26</v>
      </c>
      <c r="E462" t="s">
        <v>20</v>
      </c>
      <c r="F462" t="s">
        <v>21</v>
      </c>
      <c r="G462" t="s">
        <v>22</v>
      </c>
      <c r="H462">
        <v>32</v>
      </c>
      <c r="I462">
        <v>1</v>
      </c>
      <c r="J462">
        <v>1</v>
      </c>
      <c r="K462" t="s">
        <v>94</v>
      </c>
      <c r="L462" t="s">
        <v>287</v>
      </c>
      <c r="M462" t="s">
        <v>320</v>
      </c>
      <c r="N462">
        <v>2</v>
      </c>
    </row>
    <row r="463" spans="2:14" x14ac:dyDescent="0.3">
      <c r="B463">
        <v>462</v>
      </c>
      <c r="C463" t="s">
        <v>326</v>
      </c>
      <c r="D463" t="s">
        <v>26</v>
      </c>
      <c r="E463" t="s">
        <v>14</v>
      </c>
      <c r="F463" t="s">
        <v>15</v>
      </c>
      <c r="G463" t="s">
        <v>16</v>
      </c>
      <c r="H463">
        <v>22</v>
      </c>
      <c r="I463">
        <v>1</v>
      </c>
      <c r="J463">
        <v>0</v>
      </c>
      <c r="K463" t="s">
        <v>94</v>
      </c>
      <c r="L463" t="s">
        <v>287</v>
      </c>
      <c r="M463" t="s">
        <v>320</v>
      </c>
      <c r="N463">
        <v>2</v>
      </c>
    </row>
    <row r="464" spans="2:14" x14ac:dyDescent="0.3">
      <c r="B464">
        <v>463</v>
      </c>
      <c r="C464" t="s">
        <v>327</v>
      </c>
      <c r="D464" t="s">
        <v>13</v>
      </c>
      <c r="E464" t="s">
        <v>20</v>
      </c>
      <c r="F464" t="s">
        <v>21</v>
      </c>
      <c r="G464" t="s">
        <v>22</v>
      </c>
      <c r="H464">
        <v>113</v>
      </c>
      <c r="I464">
        <v>1</v>
      </c>
      <c r="J464">
        <v>2</v>
      </c>
      <c r="K464" t="s">
        <v>94</v>
      </c>
      <c r="L464" t="s">
        <v>287</v>
      </c>
      <c r="M464" t="s">
        <v>320</v>
      </c>
      <c r="N464">
        <v>2</v>
      </c>
    </row>
    <row r="465" spans="2:14" x14ac:dyDescent="0.3">
      <c r="B465">
        <v>464</v>
      </c>
      <c r="C465" t="s">
        <v>328</v>
      </c>
      <c r="D465" t="s">
        <v>13</v>
      </c>
      <c r="E465" t="s">
        <v>14</v>
      </c>
      <c r="F465" t="s">
        <v>15</v>
      </c>
      <c r="G465" t="s">
        <v>16</v>
      </c>
      <c r="H465">
        <v>114</v>
      </c>
      <c r="I465">
        <v>1</v>
      </c>
      <c r="J465">
        <v>0</v>
      </c>
      <c r="K465" t="s">
        <v>94</v>
      </c>
      <c r="L465" t="s">
        <v>287</v>
      </c>
      <c r="M465" t="s">
        <v>320</v>
      </c>
      <c r="N465">
        <v>2</v>
      </c>
    </row>
    <row r="466" spans="2:14" x14ac:dyDescent="0.3">
      <c r="B466">
        <v>465</v>
      </c>
      <c r="C466" t="s">
        <v>329</v>
      </c>
      <c r="D466" t="s">
        <v>19</v>
      </c>
      <c r="E466" t="s">
        <v>20</v>
      </c>
      <c r="F466" t="s">
        <v>21</v>
      </c>
      <c r="G466" t="s">
        <v>22</v>
      </c>
      <c r="H466">
        <v>95</v>
      </c>
      <c r="I466">
        <v>4</v>
      </c>
      <c r="J466">
        <v>2</v>
      </c>
      <c r="K466" t="s">
        <v>94</v>
      </c>
      <c r="L466" t="s">
        <v>287</v>
      </c>
      <c r="M466" t="s">
        <v>320</v>
      </c>
      <c r="N466">
        <v>2</v>
      </c>
    </row>
    <row r="467" spans="2:14" x14ac:dyDescent="0.3">
      <c r="B467">
        <v>466</v>
      </c>
      <c r="C467" t="s">
        <v>330</v>
      </c>
      <c r="D467" t="s">
        <v>30</v>
      </c>
      <c r="E467" t="s">
        <v>14</v>
      </c>
      <c r="F467" t="s">
        <v>15</v>
      </c>
      <c r="G467" t="s">
        <v>16</v>
      </c>
      <c r="H467">
        <v>35</v>
      </c>
      <c r="I467">
        <v>1</v>
      </c>
      <c r="J467">
        <v>1</v>
      </c>
      <c r="K467" t="s">
        <v>94</v>
      </c>
      <c r="L467" t="s">
        <v>287</v>
      </c>
      <c r="M467" t="s">
        <v>320</v>
      </c>
      <c r="N467">
        <v>2</v>
      </c>
    </row>
    <row r="468" spans="2:14" x14ac:dyDescent="0.3">
      <c r="B468">
        <v>467</v>
      </c>
      <c r="C468" t="s">
        <v>331</v>
      </c>
      <c r="D468" t="s">
        <v>26</v>
      </c>
      <c r="E468" t="s">
        <v>20</v>
      </c>
      <c r="F468" t="s">
        <v>21</v>
      </c>
      <c r="G468" t="s">
        <v>22</v>
      </c>
      <c r="H468">
        <v>23</v>
      </c>
      <c r="I468">
        <v>2</v>
      </c>
      <c r="J468">
        <v>0</v>
      </c>
      <c r="K468" t="s">
        <v>94</v>
      </c>
      <c r="L468" t="s">
        <v>287</v>
      </c>
      <c r="M468" t="s">
        <v>320</v>
      </c>
      <c r="N468">
        <v>2</v>
      </c>
    </row>
    <row r="469" spans="2:14" x14ac:dyDescent="0.3">
      <c r="B469">
        <v>468</v>
      </c>
      <c r="C469" t="s">
        <v>332</v>
      </c>
      <c r="D469" t="s">
        <v>30</v>
      </c>
      <c r="E469" t="s">
        <v>14</v>
      </c>
      <c r="F469" t="s">
        <v>15</v>
      </c>
      <c r="G469" t="s">
        <v>16</v>
      </c>
      <c r="H469">
        <v>32</v>
      </c>
      <c r="I469">
        <v>1</v>
      </c>
      <c r="J469">
        <v>1</v>
      </c>
      <c r="K469" t="s">
        <v>94</v>
      </c>
      <c r="L469" t="s">
        <v>287</v>
      </c>
      <c r="M469" t="s">
        <v>320</v>
      </c>
      <c r="N469">
        <v>2</v>
      </c>
    </row>
    <row r="470" spans="2:14" x14ac:dyDescent="0.3">
      <c r="B470">
        <v>469</v>
      </c>
      <c r="C470" t="s">
        <v>333</v>
      </c>
      <c r="D470" t="s">
        <v>13</v>
      </c>
      <c r="E470" t="s">
        <v>14</v>
      </c>
      <c r="F470" t="s">
        <v>15</v>
      </c>
      <c r="G470" t="s">
        <v>16</v>
      </c>
      <c r="H470">
        <v>114</v>
      </c>
      <c r="I470">
        <v>1</v>
      </c>
      <c r="J470">
        <v>1</v>
      </c>
      <c r="K470" t="s">
        <v>94</v>
      </c>
      <c r="L470" t="s">
        <v>287</v>
      </c>
      <c r="M470" t="s">
        <v>320</v>
      </c>
      <c r="N470">
        <v>2</v>
      </c>
    </row>
    <row r="471" spans="2:14" x14ac:dyDescent="0.3">
      <c r="B471">
        <v>470</v>
      </c>
      <c r="C471" t="s">
        <v>334</v>
      </c>
      <c r="D471" t="s">
        <v>13</v>
      </c>
      <c r="E471" t="s">
        <v>14</v>
      </c>
      <c r="F471" t="s">
        <v>15</v>
      </c>
      <c r="G471" t="s">
        <v>16</v>
      </c>
      <c r="H471">
        <v>113</v>
      </c>
      <c r="I471">
        <v>1</v>
      </c>
      <c r="J471">
        <v>0</v>
      </c>
      <c r="K471" t="s">
        <v>94</v>
      </c>
      <c r="L471" t="s">
        <v>287</v>
      </c>
      <c r="M471" t="s">
        <v>320</v>
      </c>
      <c r="N471">
        <v>2</v>
      </c>
    </row>
    <row r="472" spans="2:14" x14ac:dyDescent="0.3">
      <c r="B472">
        <v>471</v>
      </c>
      <c r="C472" t="s">
        <v>335</v>
      </c>
      <c r="D472" t="s">
        <v>19</v>
      </c>
      <c r="E472" t="s">
        <v>20</v>
      </c>
      <c r="F472" t="s">
        <v>21</v>
      </c>
      <c r="G472" t="s">
        <v>22</v>
      </c>
      <c r="H472">
        <v>98</v>
      </c>
      <c r="I472">
        <v>4</v>
      </c>
      <c r="J472">
        <v>3</v>
      </c>
      <c r="K472" t="s">
        <v>94</v>
      </c>
      <c r="L472" t="s">
        <v>287</v>
      </c>
      <c r="M472" t="s">
        <v>320</v>
      </c>
      <c r="N472">
        <v>2</v>
      </c>
    </row>
    <row r="473" spans="2:14" x14ac:dyDescent="0.3">
      <c r="B473">
        <v>472</v>
      </c>
      <c r="C473" t="s">
        <v>336</v>
      </c>
      <c r="D473" t="s">
        <v>19</v>
      </c>
      <c r="E473" t="s">
        <v>20</v>
      </c>
      <c r="F473" t="s">
        <v>21</v>
      </c>
      <c r="G473" t="s">
        <v>22</v>
      </c>
      <c r="H473">
        <v>102</v>
      </c>
      <c r="I473">
        <v>3</v>
      </c>
      <c r="J473">
        <v>1</v>
      </c>
      <c r="K473" t="s">
        <v>94</v>
      </c>
      <c r="L473" t="s">
        <v>287</v>
      </c>
      <c r="M473" t="s">
        <v>320</v>
      </c>
      <c r="N473">
        <v>2</v>
      </c>
    </row>
    <row r="474" spans="2:14" x14ac:dyDescent="0.3">
      <c r="B474">
        <v>473</v>
      </c>
      <c r="C474" t="s">
        <v>337</v>
      </c>
      <c r="D474" t="s">
        <v>13</v>
      </c>
      <c r="E474" t="s">
        <v>14</v>
      </c>
      <c r="F474" t="s">
        <v>15</v>
      </c>
      <c r="G474" t="s">
        <v>16</v>
      </c>
      <c r="H474">
        <v>125</v>
      </c>
      <c r="I474">
        <v>3</v>
      </c>
      <c r="J474">
        <v>3</v>
      </c>
      <c r="K474" t="s">
        <v>94</v>
      </c>
      <c r="L474" t="s">
        <v>287</v>
      </c>
      <c r="M474" t="s">
        <v>320</v>
      </c>
      <c r="N474">
        <v>2</v>
      </c>
    </row>
    <row r="475" spans="2:14" x14ac:dyDescent="0.3">
      <c r="B475">
        <v>474</v>
      </c>
      <c r="C475" t="s">
        <v>338</v>
      </c>
      <c r="D475" t="s">
        <v>19</v>
      </c>
      <c r="E475" t="s">
        <v>14</v>
      </c>
      <c r="F475" t="s">
        <v>15</v>
      </c>
      <c r="G475" t="s">
        <v>16</v>
      </c>
      <c r="H475">
        <v>102</v>
      </c>
      <c r="I475">
        <v>1</v>
      </c>
      <c r="J475">
        <v>0</v>
      </c>
      <c r="K475" t="s">
        <v>94</v>
      </c>
      <c r="L475" t="s">
        <v>287</v>
      </c>
      <c r="M475" t="s">
        <v>320</v>
      </c>
      <c r="N475">
        <v>2</v>
      </c>
    </row>
    <row r="476" spans="2:14" x14ac:dyDescent="0.3">
      <c r="B476">
        <v>475</v>
      </c>
      <c r="C476" t="s">
        <v>339</v>
      </c>
      <c r="D476" t="s">
        <v>26</v>
      </c>
      <c r="E476" t="s">
        <v>20</v>
      </c>
      <c r="F476" t="s">
        <v>21</v>
      </c>
      <c r="G476" t="s">
        <v>22</v>
      </c>
      <c r="H476">
        <v>22</v>
      </c>
      <c r="I476">
        <v>2</v>
      </c>
      <c r="J476">
        <v>1</v>
      </c>
      <c r="K476" t="s">
        <v>94</v>
      </c>
      <c r="L476" t="s">
        <v>287</v>
      </c>
      <c r="M476" t="s">
        <v>320</v>
      </c>
      <c r="N476">
        <v>2</v>
      </c>
    </row>
    <row r="477" spans="2:14" x14ac:dyDescent="0.3">
      <c r="B477">
        <v>476</v>
      </c>
      <c r="C477" t="s">
        <v>340</v>
      </c>
      <c r="D477" t="s">
        <v>13</v>
      </c>
      <c r="E477" t="s">
        <v>14</v>
      </c>
      <c r="F477" t="s">
        <v>15</v>
      </c>
      <c r="G477" t="s">
        <v>16</v>
      </c>
      <c r="H477">
        <v>127</v>
      </c>
      <c r="I477">
        <v>1</v>
      </c>
      <c r="J477">
        <v>1</v>
      </c>
      <c r="K477" t="s">
        <v>94</v>
      </c>
      <c r="L477" t="s">
        <v>287</v>
      </c>
      <c r="M477" t="s">
        <v>320</v>
      </c>
      <c r="N477">
        <v>2</v>
      </c>
    </row>
    <row r="478" spans="2:14" x14ac:dyDescent="0.3">
      <c r="B478">
        <v>477</v>
      </c>
      <c r="C478" t="s">
        <v>341</v>
      </c>
      <c r="D478" t="s">
        <v>19</v>
      </c>
      <c r="E478" t="s">
        <v>14</v>
      </c>
      <c r="F478" t="s">
        <v>15</v>
      </c>
      <c r="G478" t="s">
        <v>16</v>
      </c>
      <c r="H478">
        <v>88</v>
      </c>
      <c r="I478">
        <v>1</v>
      </c>
      <c r="J478">
        <v>3</v>
      </c>
      <c r="K478" t="s">
        <v>94</v>
      </c>
      <c r="L478" t="s">
        <v>287</v>
      </c>
      <c r="M478" t="s">
        <v>320</v>
      </c>
      <c r="N478">
        <v>2</v>
      </c>
    </row>
    <row r="479" spans="2:14" x14ac:dyDescent="0.3">
      <c r="B479">
        <v>478</v>
      </c>
      <c r="C479" t="s">
        <v>342</v>
      </c>
      <c r="D479" t="s">
        <v>13</v>
      </c>
      <c r="E479" t="s">
        <v>20</v>
      </c>
      <c r="F479" t="s">
        <v>21</v>
      </c>
      <c r="G479" t="s">
        <v>22</v>
      </c>
      <c r="H479">
        <v>127</v>
      </c>
      <c r="I479">
        <v>1</v>
      </c>
      <c r="J479">
        <v>0</v>
      </c>
      <c r="K479" t="s">
        <v>94</v>
      </c>
      <c r="L479" t="s">
        <v>287</v>
      </c>
      <c r="M479" t="s">
        <v>320</v>
      </c>
      <c r="N479">
        <v>2</v>
      </c>
    </row>
    <row r="480" spans="2:14" x14ac:dyDescent="0.3">
      <c r="B480">
        <v>479</v>
      </c>
      <c r="C480" t="s">
        <v>343</v>
      </c>
      <c r="D480" t="s">
        <v>19</v>
      </c>
      <c r="E480" t="s">
        <v>20</v>
      </c>
      <c r="F480" t="s">
        <v>21</v>
      </c>
      <c r="G480" t="s">
        <v>22</v>
      </c>
      <c r="H480">
        <v>82</v>
      </c>
      <c r="I480">
        <v>3</v>
      </c>
      <c r="J480">
        <v>3</v>
      </c>
      <c r="K480" t="s">
        <v>94</v>
      </c>
      <c r="L480" t="s">
        <v>287</v>
      </c>
      <c r="M480" t="s">
        <v>320</v>
      </c>
      <c r="N480">
        <v>2</v>
      </c>
    </row>
    <row r="481" spans="2:14" x14ac:dyDescent="0.3">
      <c r="B481">
        <v>480</v>
      </c>
      <c r="C481" t="s">
        <v>344</v>
      </c>
      <c r="D481" t="s">
        <v>19</v>
      </c>
      <c r="E481" t="s">
        <v>14</v>
      </c>
      <c r="F481" t="s">
        <v>15</v>
      </c>
      <c r="G481" t="s">
        <v>16</v>
      </c>
      <c r="H481">
        <v>87</v>
      </c>
      <c r="I481">
        <v>2</v>
      </c>
      <c r="J481">
        <v>4</v>
      </c>
      <c r="K481" t="s">
        <v>94</v>
      </c>
      <c r="L481" t="s">
        <v>287</v>
      </c>
      <c r="M481" t="s">
        <v>320</v>
      </c>
      <c r="N481">
        <v>2</v>
      </c>
    </row>
    <row r="482" spans="2:14" x14ac:dyDescent="0.3">
      <c r="B482">
        <v>481</v>
      </c>
      <c r="C482" t="s">
        <v>345</v>
      </c>
      <c r="D482" t="s">
        <v>13</v>
      </c>
      <c r="E482" t="s">
        <v>14</v>
      </c>
      <c r="F482" t="s">
        <v>15</v>
      </c>
      <c r="G482" t="s">
        <v>16</v>
      </c>
      <c r="H482">
        <v>102</v>
      </c>
      <c r="I482">
        <v>1</v>
      </c>
      <c r="J482">
        <v>1</v>
      </c>
      <c r="K482" t="s">
        <v>94</v>
      </c>
      <c r="L482" t="s">
        <v>287</v>
      </c>
      <c r="M482" t="s">
        <v>320</v>
      </c>
      <c r="N482">
        <v>2</v>
      </c>
    </row>
    <row r="483" spans="2:14" x14ac:dyDescent="0.3">
      <c r="B483">
        <v>482</v>
      </c>
      <c r="C483" t="s">
        <v>346</v>
      </c>
      <c r="D483" t="s">
        <v>23</v>
      </c>
      <c r="E483" t="s">
        <v>14</v>
      </c>
      <c r="F483" t="s">
        <v>15</v>
      </c>
      <c r="G483" t="s">
        <v>16</v>
      </c>
      <c r="H483">
        <v>37</v>
      </c>
      <c r="I483">
        <v>3</v>
      </c>
      <c r="J483">
        <v>0</v>
      </c>
      <c r="K483" t="s">
        <v>94</v>
      </c>
      <c r="L483" t="s">
        <v>287</v>
      </c>
      <c r="M483" t="s">
        <v>320</v>
      </c>
      <c r="N483">
        <v>2</v>
      </c>
    </row>
    <row r="484" spans="2:14" x14ac:dyDescent="0.3">
      <c r="B484">
        <v>483</v>
      </c>
      <c r="C484" t="s">
        <v>347</v>
      </c>
      <c r="D484" t="s">
        <v>23</v>
      </c>
      <c r="E484" t="s">
        <v>14</v>
      </c>
      <c r="F484" t="s">
        <v>15</v>
      </c>
      <c r="G484" t="s">
        <v>16</v>
      </c>
      <c r="H484">
        <v>50</v>
      </c>
      <c r="I484">
        <v>1</v>
      </c>
      <c r="J484">
        <v>0</v>
      </c>
      <c r="K484" t="s">
        <v>94</v>
      </c>
      <c r="L484" t="s">
        <v>287</v>
      </c>
      <c r="M484" t="s">
        <v>320</v>
      </c>
      <c r="N484">
        <v>2</v>
      </c>
    </row>
    <row r="485" spans="2:14" x14ac:dyDescent="0.3">
      <c r="B485">
        <v>484</v>
      </c>
      <c r="C485" t="s">
        <v>348</v>
      </c>
      <c r="D485" t="s">
        <v>26</v>
      </c>
      <c r="E485" t="s">
        <v>20</v>
      </c>
      <c r="F485" t="s">
        <v>21</v>
      </c>
      <c r="G485" t="s">
        <v>22</v>
      </c>
      <c r="H485">
        <v>30</v>
      </c>
      <c r="I485">
        <v>2</v>
      </c>
      <c r="J485">
        <v>2</v>
      </c>
      <c r="K485" t="s">
        <v>94</v>
      </c>
      <c r="L485" t="s">
        <v>287</v>
      </c>
      <c r="M485" t="s">
        <v>349</v>
      </c>
      <c r="N485">
        <v>3</v>
      </c>
    </row>
    <row r="486" spans="2:14" x14ac:dyDescent="0.3">
      <c r="B486">
        <v>485</v>
      </c>
      <c r="C486" t="s">
        <v>350</v>
      </c>
      <c r="D486" t="s">
        <v>26</v>
      </c>
      <c r="E486" t="s">
        <v>20</v>
      </c>
      <c r="F486" t="s">
        <v>21</v>
      </c>
      <c r="G486" t="s">
        <v>22</v>
      </c>
      <c r="H486">
        <v>22</v>
      </c>
      <c r="I486">
        <v>1</v>
      </c>
      <c r="J486">
        <v>1</v>
      </c>
      <c r="K486" t="s">
        <v>94</v>
      </c>
      <c r="L486" t="s">
        <v>287</v>
      </c>
      <c r="M486" t="s">
        <v>349</v>
      </c>
      <c r="N486">
        <v>3</v>
      </c>
    </row>
    <row r="487" spans="2:14" x14ac:dyDescent="0.3">
      <c r="B487">
        <v>486</v>
      </c>
      <c r="C487" t="s">
        <v>351</v>
      </c>
      <c r="D487" t="s">
        <v>13</v>
      </c>
      <c r="E487" t="s">
        <v>14</v>
      </c>
      <c r="F487" t="s">
        <v>15</v>
      </c>
      <c r="G487" t="s">
        <v>16</v>
      </c>
      <c r="H487">
        <v>102</v>
      </c>
      <c r="I487">
        <v>1</v>
      </c>
      <c r="J487">
        <v>1</v>
      </c>
      <c r="K487" t="s">
        <v>94</v>
      </c>
      <c r="L487" t="s">
        <v>287</v>
      </c>
      <c r="M487" t="s">
        <v>349</v>
      </c>
      <c r="N487">
        <v>3</v>
      </c>
    </row>
    <row r="488" spans="2:14" x14ac:dyDescent="0.3">
      <c r="B488">
        <v>487</v>
      </c>
      <c r="C488" t="s">
        <v>352</v>
      </c>
      <c r="D488" t="s">
        <v>30</v>
      </c>
      <c r="E488" t="s">
        <v>14</v>
      </c>
      <c r="F488" t="s">
        <v>15</v>
      </c>
      <c r="G488" t="s">
        <v>16</v>
      </c>
      <c r="H488">
        <v>33</v>
      </c>
      <c r="I488">
        <v>1</v>
      </c>
      <c r="J488">
        <v>0</v>
      </c>
      <c r="K488" t="s">
        <v>94</v>
      </c>
      <c r="L488" t="s">
        <v>287</v>
      </c>
      <c r="M488" t="s">
        <v>349</v>
      </c>
      <c r="N488">
        <v>3</v>
      </c>
    </row>
    <row r="489" spans="2:14" x14ac:dyDescent="0.3">
      <c r="B489">
        <v>488</v>
      </c>
      <c r="C489" t="s">
        <v>353</v>
      </c>
      <c r="D489" t="s">
        <v>30</v>
      </c>
      <c r="E489" t="s">
        <v>20</v>
      </c>
      <c r="F489" t="s">
        <v>21</v>
      </c>
      <c r="G489" t="s">
        <v>22</v>
      </c>
      <c r="H489">
        <v>32</v>
      </c>
      <c r="I489">
        <v>1</v>
      </c>
      <c r="J489">
        <v>1</v>
      </c>
      <c r="K489" t="s">
        <v>94</v>
      </c>
      <c r="L489" t="s">
        <v>287</v>
      </c>
      <c r="M489" t="s">
        <v>349</v>
      </c>
      <c r="N489">
        <v>3</v>
      </c>
    </row>
    <row r="490" spans="2:14" x14ac:dyDescent="0.3">
      <c r="B490">
        <v>489</v>
      </c>
      <c r="C490" t="s">
        <v>354</v>
      </c>
      <c r="D490" t="s">
        <v>26</v>
      </c>
      <c r="E490" t="s">
        <v>14</v>
      </c>
      <c r="F490" t="s">
        <v>15</v>
      </c>
      <c r="G490" t="s">
        <v>16</v>
      </c>
      <c r="H490">
        <v>30</v>
      </c>
      <c r="I490">
        <v>2</v>
      </c>
      <c r="J490">
        <v>1</v>
      </c>
      <c r="K490" t="s">
        <v>94</v>
      </c>
      <c r="L490" t="s">
        <v>287</v>
      </c>
      <c r="M490" t="s">
        <v>349</v>
      </c>
      <c r="N490">
        <v>3</v>
      </c>
    </row>
    <row r="491" spans="2:14" x14ac:dyDescent="0.3">
      <c r="B491">
        <v>490</v>
      </c>
      <c r="C491" t="s">
        <v>355</v>
      </c>
      <c r="D491" t="s">
        <v>19</v>
      </c>
      <c r="E491" t="s">
        <v>14</v>
      </c>
      <c r="F491" t="s">
        <v>15</v>
      </c>
      <c r="G491" t="s">
        <v>16</v>
      </c>
      <c r="H491">
        <v>81</v>
      </c>
      <c r="I491">
        <v>1</v>
      </c>
      <c r="J491">
        <v>2</v>
      </c>
      <c r="K491" t="s">
        <v>94</v>
      </c>
      <c r="L491" t="s">
        <v>287</v>
      </c>
      <c r="M491" t="s">
        <v>349</v>
      </c>
      <c r="N491">
        <v>3</v>
      </c>
    </row>
    <row r="492" spans="2:14" x14ac:dyDescent="0.3">
      <c r="B492">
        <v>491</v>
      </c>
      <c r="C492" t="s">
        <v>356</v>
      </c>
      <c r="D492" t="s">
        <v>23</v>
      </c>
      <c r="E492" t="s">
        <v>14</v>
      </c>
      <c r="F492" t="s">
        <v>15</v>
      </c>
      <c r="G492" t="s">
        <v>16</v>
      </c>
      <c r="H492">
        <v>50</v>
      </c>
      <c r="I492">
        <v>1</v>
      </c>
      <c r="J492">
        <v>1</v>
      </c>
      <c r="K492" t="s">
        <v>94</v>
      </c>
      <c r="L492" t="s">
        <v>287</v>
      </c>
      <c r="M492" t="s">
        <v>349</v>
      </c>
      <c r="N492">
        <v>3</v>
      </c>
    </row>
    <row r="493" spans="2:14" x14ac:dyDescent="0.3">
      <c r="B493">
        <v>492</v>
      </c>
      <c r="C493" t="s">
        <v>357</v>
      </c>
      <c r="D493" t="s">
        <v>19</v>
      </c>
      <c r="E493" t="s">
        <v>31</v>
      </c>
      <c r="F493" t="s">
        <v>32</v>
      </c>
      <c r="G493" t="s">
        <v>33</v>
      </c>
      <c r="H493">
        <v>100</v>
      </c>
      <c r="I493">
        <v>2</v>
      </c>
      <c r="J493">
        <v>4</v>
      </c>
      <c r="K493" t="s">
        <v>94</v>
      </c>
      <c r="L493" t="s">
        <v>287</v>
      </c>
      <c r="M493" t="s">
        <v>349</v>
      </c>
      <c r="N493">
        <v>3</v>
      </c>
    </row>
    <row r="494" spans="2:14" x14ac:dyDescent="0.3">
      <c r="B494">
        <v>493</v>
      </c>
      <c r="C494" t="s">
        <v>358</v>
      </c>
      <c r="D494" t="s">
        <v>19</v>
      </c>
      <c r="E494" t="s">
        <v>14</v>
      </c>
      <c r="F494" t="s">
        <v>15</v>
      </c>
      <c r="G494" t="s">
        <v>16</v>
      </c>
      <c r="H494">
        <v>102</v>
      </c>
      <c r="I494">
        <v>1</v>
      </c>
      <c r="J494">
        <v>1</v>
      </c>
      <c r="K494" t="s">
        <v>94</v>
      </c>
      <c r="L494" t="s">
        <v>287</v>
      </c>
      <c r="M494" t="s">
        <v>349</v>
      </c>
      <c r="N494">
        <v>3</v>
      </c>
    </row>
    <row r="495" spans="2:14" x14ac:dyDescent="0.3">
      <c r="B495">
        <v>494</v>
      </c>
      <c r="C495" t="s">
        <v>359</v>
      </c>
      <c r="D495" t="s">
        <v>30</v>
      </c>
      <c r="E495" t="s">
        <v>14</v>
      </c>
      <c r="F495" t="s">
        <v>15</v>
      </c>
      <c r="G495" t="s">
        <v>16</v>
      </c>
      <c r="H495">
        <v>31</v>
      </c>
      <c r="I495">
        <v>1</v>
      </c>
      <c r="J495">
        <v>0</v>
      </c>
      <c r="K495" t="s">
        <v>94</v>
      </c>
      <c r="L495" t="s">
        <v>287</v>
      </c>
      <c r="M495" t="s">
        <v>349</v>
      </c>
      <c r="N495">
        <v>3</v>
      </c>
    </row>
    <row r="496" spans="2:14" x14ac:dyDescent="0.3">
      <c r="B496">
        <v>495</v>
      </c>
      <c r="C496" t="s">
        <v>360</v>
      </c>
      <c r="D496" t="s">
        <v>23</v>
      </c>
      <c r="E496" t="s">
        <v>14</v>
      </c>
      <c r="F496" t="s">
        <v>15</v>
      </c>
      <c r="G496" t="s">
        <v>16</v>
      </c>
      <c r="H496">
        <v>33</v>
      </c>
      <c r="I496">
        <v>2</v>
      </c>
      <c r="J496">
        <v>1</v>
      </c>
      <c r="K496" t="s">
        <v>94</v>
      </c>
      <c r="L496" t="s">
        <v>287</v>
      </c>
      <c r="M496" t="s">
        <v>349</v>
      </c>
      <c r="N496">
        <v>3</v>
      </c>
    </row>
    <row r="497" spans="2:14" x14ac:dyDescent="0.3">
      <c r="B497">
        <v>496</v>
      </c>
      <c r="C497" t="s">
        <v>361</v>
      </c>
      <c r="D497" t="s">
        <v>23</v>
      </c>
      <c r="E497" t="s">
        <v>14</v>
      </c>
      <c r="F497" t="s">
        <v>15</v>
      </c>
      <c r="G497" t="s">
        <v>16</v>
      </c>
      <c r="H497">
        <v>50</v>
      </c>
      <c r="I497">
        <v>1</v>
      </c>
      <c r="J497">
        <v>0</v>
      </c>
      <c r="K497" t="s">
        <v>94</v>
      </c>
      <c r="L497" t="s">
        <v>287</v>
      </c>
      <c r="M497" t="s">
        <v>349</v>
      </c>
      <c r="N497">
        <v>3</v>
      </c>
    </row>
    <row r="498" spans="2:14" x14ac:dyDescent="0.3">
      <c r="B498">
        <v>497</v>
      </c>
      <c r="C498" t="s">
        <v>362</v>
      </c>
      <c r="D498" t="s">
        <v>26</v>
      </c>
      <c r="E498" t="s">
        <v>31</v>
      </c>
      <c r="F498" t="s">
        <v>32</v>
      </c>
      <c r="G498" t="s">
        <v>33</v>
      </c>
      <c r="H498">
        <v>32</v>
      </c>
      <c r="I498">
        <v>1</v>
      </c>
      <c r="J498">
        <v>0</v>
      </c>
      <c r="K498" t="s">
        <v>94</v>
      </c>
      <c r="L498" t="s">
        <v>287</v>
      </c>
      <c r="M498" t="s">
        <v>349</v>
      </c>
      <c r="N498">
        <v>3</v>
      </c>
    </row>
    <row r="499" spans="2:14" x14ac:dyDescent="0.3">
      <c r="B499">
        <v>498</v>
      </c>
      <c r="C499" t="s">
        <v>363</v>
      </c>
      <c r="D499" t="s">
        <v>26</v>
      </c>
      <c r="E499" t="s">
        <v>31</v>
      </c>
      <c r="F499" t="s">
        <v>32</v>
      </c>
      <c r="G499" t="s">
        <v>33</v>
      </c>
      <c r="H499">
        <v>30</v>
      </c>
      <c r="I499">
        <v>1</v>
      </c>
      <c r="J499">
        <v>1</v>
      </c>
      <c r="K499" t="s">
        <v>94</v>
      </c>
      <c r="L499" t="s">
        <v>287</v>
      </c>
      <c r="M499" t="s">
        <v>349</v>
      </c>
      <c r="N499">
        <v>3</v>
      </c>
    </row>
    <row r="500" spans="2:14" x14ac:dyDescent="0.3">
      <c r="B500">
        <v>499</v>
      </c>
      <c r="C500" t="s">
        <v>364</v>
      </c>
      <c r="D500" t="s">
        <v>26</v>
      </c>
      <c r="E500" t="s">
        <v>14</v>
      </c>
      <c r="F500" t="s">
        <v>15</v>
      </c>
      <c r="G500" t="s">
        <v>16</v>
      </c>
      <c r="H500">
        <v>25</v>
      </c>
      <c r="I500">
        <v>4</v>
      </c>
      <c r="J500">
        <v>1</v>
      </c>
      <c r="K500" t="s">
        <v>94</v>
      </c>
      <c r="L500" t="s">
        <v>287</v>
      </c>
      <c r="M500" t="s">
        <v>349</v>
      </c>
      <c r="N500">
        <v>3</v>
      </c>
    </row>
    <row r="501" spans="2:14" x14ac:dyDescent="0.3">
      <c r="B501">
        <v>500</v>
      </c>
      <c r="C501" t="s">
        <v>365</v>
      </c>
      <c r="D501" t="s">
        <v>13</v>
      </c>
      <c r="E501" t="s">
        <v>20</v>
      </c>
      <c r="F501" t="s">
        <v>21</v>
      </c>
      <c r="G501" t="s">
        <v>22</v>
      </c>
      <c r="H501">
        <v>109</v>
      </c>
      <c r="I501">
        <v>3</v>
      </c>
      <c r="J501">
        <v>1</v>
      </c>
      <c r="K501" t="s">
        <v>94</v>
      </c>
      <c r="L501" t="s">
        <v>287</v>
      </c>
      <c r="M501" t="s">
        <v>349</v>
      </c>
      <c r="N501">
        <v>3</v>
      </c>
    </row>
    <row r="502" spans="2:14" x14ac:dyDescent="0.3">
      <c r="B502">
        <v>501</v>
      </c>
      <c r="C502" t="s">
        <v>366</v>
      </c>
      <c r="D502" t="s">
        <v>30</v>
      </c>
      <c r="E502" t="s">
        <v>14</v>
      </c>
      <c r="F502" t="s">
        <v>15</v>
      </c>
      <c r="G502" t="s">
        <v>16</v>
      </c>
      <c r="H502">
        <v>30</v>
      </c>
      <c r="I502">
        <v>1</v>
      </c>
      <c r="J502">
        <v>2</v>
      </c>
      <c r="K502" t="s">
        <v>94</v>
      </c>
      <c r="L502" t="s">
        <v>287</v>
      </c>
      <c r="M502" t="s">
        <v>349</v>
      </c>
      <c r="N502">
        <v>3</v>
      </c>
    </row>
    <row r="503" spans="2:14" x14ac:dyDescent="0.3">
      <c r="B503">
        <v>502</v>
      </c>
      <c r="C503" t="s">
        <v>367</v>
      </c>
      <c r="D503" t="s">
        <v>26</v>
      </c>
      <c r="E503" t="s">
        <v>20</v>
      </c>
      <c r="F503" t="s">
        <v>21</v>
      </c>
      <c r="G503" t="s">
        <v>22</v>
      </c>
      <c r="H503">
        <v>30</v>
      </c>
      <c r="I503">
        <v>1</v>
      </c>
      <c r="J503">
        <v>1</v>
      </c>
      <c r="K503" t="s">
        <v>94</v>
      </c>
      <c r="L503" t="s">
        <v>287</v>
      </c>
      <c r="M503" t="s">
        <v>349</v>
      </c>
      <c r="N503">
        <v>3</v>
      </c>
    </row>
    <row r="504" spans="2:14" x14ac:dyDescent="0.3">
      <c r="B504">
        <v>503</v>
      </c>
      <c r="C504" t="s">
        <v>368</v>
      </c>
      <c r="D504" t="s">
        <v>30</v>
      </c>
      <c r="E504" t="s">
        <v>14</v>
      </c>
      <c r="F504" t="s">
        <v>15</v>
      </c>
      <c r="G504" t="s">
        <v>16</v>
      </c>
      <c r="H504">
        <v>40</v>
      </c>
      <c r="I504">
        <v>1</v>
      </c>
      <c r="J504">
        <v>1</v>
      </c>
      <c r="K504" t="s">
        <v>94</v>
      </c>
      <c r="L504" t="s">
        <v>287</v>
      </c>
      <c r="M504" t="s">
        <v>349</v>
      </c>
      <c r="N504">
        <v>3</v>
      </c>
    </row>
    <row r="505" spans="2:14" x14ac:dyDescent="0.3">
      <c r="B505">
        <v>504</v>
      </c>
      <c r="C505" t="s">
        <v>369</v>
      </c>
      <c r="D505" t="s">
        <v>26</v>
      </c>
      <c r="E505" t="s">
        <v>14</v>
      </c>
      <c r="F505" t="s">
        <v>15</v>
      </c>
      <c r="G505" t="s">
        <v>16</v>
      </c>
      <c r="H505">
        <v>24</v>
      </c>
      <c r="I505">
        <v>4</v>
      </c>
      <c r="J505">
        <v>1</v>
      </c>
      <c r="K505" t="s">
        <v>94</v>
      </c>
      <c r="L505" t="s">
        <v>287</v>
      </c>
      <c r="M505" t="s">
        <v>349</v>
      </c>
      <c r="N505">
        <v>3</v>
      </c>
    </row>
    <row r="506" spans="2:14" x14ac:dyDescent="0.3">
      <c r="B506">
        <v>505</v>
      </c>
      <c r="C506" t="s">
        <v>370</v>
      </c>
      <c r="D506" t="s">
        <v>13</v>
      </c>
      <c r="E506" t="s">
        <v>14</v>
      </c>
      <c r="F506" t="s">
        <v>15</v>
      </c>
      <c r="G506" t="s">
        <v>16</v>
      </c>
      <c r="H506">
        <v>105</v>
      </c>
      <c r="I506">
        <v>2</v>
      </c>
      <c r="J506">
        <v>2</v>
      </c>
      <c r="K506" t="s">
        <v>94</v>
      </c>
      <c r="L506" t="s">
        <v>287</v>
      </c>
      <c r="M506" t="s">
        <v>349</v>
      </c>
      <c r="N506">
        <v>3</v>
      </c>
    </row>
    <row r="507" spans="2:14" x14ac:dyDescent="0.3">
      <c r="B507">
        <v>506</v>
      </c>
      <c r="C507" t="s">
        <v>371</v>
      </c>
      <c r="D507" t="s">
        <v>23</v>
      </c>
      <c r="E507" t="s">
        <v>20</v>
      </c>
      <c r="F507" t="s">
        <v>21</v>
      </c>
      <c r="G507" t="s">
        <v>22</v>
      </c>
      <c r="H507">
        <v>35</v>
      </c>
      <c r="I507">
        <v>1</v>
      </c>
      <c r="J507">
        <v>2</v>
      </c>
      <c r="K507" t="s">
        <v>94</v>
      </c>
      <c r="L507" t="s">
        <v>287</v>
      </c>
      <c r="M507" t="s">
        <v>349</v>
      </c>
      <c r="N507">
        <v>3</v>
      </c>
    </row>
    <row r="508" spans="2:14" x14ac:dyDescent="0.3">
      <c r="B508">
        <v>507</v>
      </c>
      <c r="C508" t="s">
        <v>372</v>
      </c>
      <c r="D508" t="s">
        <v>30</v>
      </c>
      <c r="E508" t="s">
        <v>31</v>
      </c>
      <c r="F508" t="s">
        <v>32</v>
      </c>
      <c r="G508" t="s">
        <v>33</v>
      </c>
      <c r="H508">
        <v>33</v>
      </c>
      <c r="I508">
        <v>1</v>
      </c>
      <c r="J508">
        <v>1</v>
      </c>
      <c r="K508" t="s">
        <v>94</v>
      </c>
      <c r="L508" t="s">
        <v>287</v>
      </c>
      <c r="M508" t="s">
        <v>349</v>
      </c>
      <c r="N508">
        <v>3</v>
      </c>
    </row>
    <row r="509" spans="2:14" x14ac:dyDescent="0.3">
      <c r="B509">
        <v>508</v>
      </c>
      <c r="C509" t="s">
        <v>373</v>
      </c>
      <c r="D509" t="s">
        <v>26</v>
      </c>
      <c r="E509" t="s">
        <v>14</v>
      </c>
      <c r="F509" t="s">
        <v>15</v>
      </c>
      <c r="G509" t="s">
        <v>16</v>
      </c>
      <c r="H509">
        <v>30</v>
      </c>
      <c r="I509">
        <v>1</v>
      </c>
      <c r="J509">
        <v>0</v>
      </c>
      <c r="K509" t="s">
        <v>94</v>
      </c>
      <c r="L509" t="s">
        <v>287</v>
      </c>
      <c r="M509" t="s">
        <v>349</v>
      </c>
      <c r="N509">
        <v>3</v>
      </c>
    </row>
    <row r="510" spans="2:14" x14ac:dyDescent="0.3">
      <c r="B510">
        <v>509</v>
      </c>
      <c r="C510" t="s">
        <v>374</v>
      </c>
      <c r="D510" t="s">
        <v>30</v>
      </c>
      <c r="E510" t="s">
        <v>31</v>
      </c>
      <c r="F510" t="s">
        <v>32</v>
      </c>
      <c r="G510" t="s">
        <v>33</v>
      </c>
      <c r="H510">
        <v>31</v>
      </c>
      <c r="I510">
        <v>3</v>
      </c>
      <c r="J510">
        <v>4</v>
      </c>
      <c r="K510" t="s">
        <v>94</v>
      </c>
      <c r="L510" t="s">
        <v>287</v>
      </c>
      <c r="M510" t="s">
        <v>349</v>
      </c>
      <c r="N510">
        <v>3</v>
      </c>
    </row>
    <row r="511" spans="2:14" x14ac:dyDescent="0.3">
      <c r="B511">
        <v>510</v>
      </c>
      <c r="C511" t="s">
        <v>375</v>
      </c>
      <c r="D511" t="s">
        <v>13</v>
      </c>
      <c r="E511" t="s">
        <v>20</v>
      </c>
      <c r="F511" t="s">
        <v>21</v>
      </c>
      <c r="G511" t="s">
        <v>22</v>
      </c>
      <c r="H511">
        <v>117</v>
      </c>
      <c r="I511">
        <v>1</v>
      </c>
      <c r="J511">
        <v>2</v>
      </c>
      <c r="K511" t="s">
        <v>94</v>
      </c>
      <c r="L511" t="s">
        <v>287</v>
      </c>
      <c r="M511" t="s">
        <v>349</v>
      </c>
      <c r="N511">
        <v>3</v>
      </c>
    </row>
    <row r="512" spans="2:14" x14ac:dyDescent="0.3">
      <c r="B512">
        <v>511</v>
      </c>
      <c r="C512" t="s">
        <v>376</v>
      </c>
      <c r="D512" t="s">
        <v>26</v>
      </c>
      <c r="E512" t="s">
        <v>31</v>
      </c>
      <c r="F512" t="s">
        <v>32</v>
      </c>
      <c r="G512" t="s">
        <v>33</v>
      </c>
      <c r="H512">
        <v>24</v>
      </c>
      <c r="I512">
        <v>1</v>
      </c>
      <c r="J512">
        <v>2</v>
      </c>
      <c r="K512" t="s">
        <v>94</v>
      </c>
      <c r="L512" t="s">
        <v>287</v>
      </c>
      <c r="M512" t="s">
        <v>349</v>
      </c>
      <c r="N512">
        <v>3</v>
      </c>
    </row>
    <row r="513" spans="2:14" x14ac:dyDescent="0.3">
      <c r="B513">
        <v>512</v>
      </c>
      <c r="C513" t="s">
        <v>377</v>
      </c>
      <c r="D513" t="s">
        <v>30</v>
      </c>
      <c r="E513" t="s">
        <v>20</v>
      </c>
      <c r="F513" t="s">
        <v>21</v>
      </c>
      <c r="G513" t="s">
        <v>22</v>
      </c>
      <c r="H513">
        <v>33</v>
      </c>
      <c r="I513">
        <v>1</v>
      </c>
      <c r="J513">
        <v>0</v>
      </c>
      <c r="K513" t="s">
        <v>94</v>
      </c>
      <c r="L513" t="s">
        <v>287</v>
      </c>
      <c r="M513" t="s">
        <v>349</v>
      </c>
      <c r="N513">
        <v>3</v>
      </c>
    </row>
    <row r="514" spans="2:14" x14ac:dyDescent="0.3">
      <c r="B514">
        <v>513</v>
      </c>
      <c r="C514" t="s">
        <v>378</v>
      </c>
      <c r="D514" t="s">
        <v>13</v>
      </c>
      <c r="E514" t="s">
        <v>20</v>
      </c>
      <c r="F514" t="s">
        <v>21</v>
      </c>
      <c r="G514" t="s">
        <v>22</v>
      </c>
      <c r="H514">
        <v>117</v>
      </c>
      <c r="I514">
        <v>2</v>
      </c>
      <c r="J514">
        <v>2</v>
      </c>
      <c r="K514" t="s">
        <v>94</v>
      </c>
      <c r="L514" t="s">
        <v>287</v>
      </c>
      <c r="M514" t="s">
        <v>349</v>
      </c>
      <c r="N514">
        <v>3</v>
      </c>
    </row>
    <row r="515" spans="2:14" x14ac:dyDescent="0.3">
      <c r="B515">
        <v>514</v>
      </c>
      <c r="C515" t="s">
        <v>379</v>
      </c>
      <c r="D515" t="s">
        <v>19</v>
      </c>
      <c r="E515" t="s">
        <v>20</v>
      </c>
      <c r="F515" t="s">
        <v>21</v>
      </c>
      <c r="G515" t="s">
        <v>22</v>
      </c>
      <c r="H515">
        <v>88</v>
      </c>
      <c r="I515">
        <v>2</v>
      </c>
      <c r="J515">
        <v>0</v>
      </c>
      <c r="K515" t="s">
        <v>94</v>
      </c>
      <c r="L515" t="s">
        <v>287</v>
      </c>
      <c r="M515" t="s">
        <v>349</v>
      </c>
      <c r="N515">
        <v>3</v>
      </c>
    </row>
    <row r="516" spans="2:14" x14ac:dyDescent="0.3">
      <c r="B516">
        <v>515</v>
      </c>
      <c r="C516" t="s">
        <v>380</v>
      </c>
      <c r="D516" t="s">
        <v>30</v>
      </c>
      <c r="E516" t="s">
        <v>20</v>
      </c>
      <c r="F516" t="s">
        <v>21</v>
      </c>
      <c r="G516" t="s">
        <v>22</v>
      </c>
      <c r="H516">
        <v>37</v>
      </c>
      <c r="I516">
        <v>1</v>
      </c>
      <c r="J516">
        <v>0</v>
      </c>
      <c r="K516" t="s">
        <v>94</v>
      </c>
      <c r="L516" t="s">
        <v>381</v>
      </c>
      <c r="M516" t="s">
        <v>382</v>
      </c>
      <c r="N516">
        <v>4</v>
      </c>
    </row>
    <row r="517" spans="2:14" x14ac:dyDescent="0.3">
      <c r="B517">
        <v>516</v>
      </c>
      <c r="C517" t="s">
        <v>383</v>
      </c>
      <c r="D517" t="s">
        <v>23</v>
      </c>
      <c r="E517" t="s">
        <v>14</v>
      </c>
      <c r="F517" t="s">
        <v>15</v>
      </c>
      <c r="G517" t="s">
        <v>16</v>
      </c>
      <c r="H517">
        <v>50</v>
      </c>
      <c r="I517">
        <v>2</v>
      </c>
      <c r="J517">
        <v>0</v>
      </c>
      <c r="K517" t="s">
        <v>94</v>
      </c>
      <c r="L517" t="s">
        <v>381</v>
      </c>
      <c r="M517" t="s">
        <v>382</v>
      </c>
      <c r="N517">
        <v>4</v>
      </c>
    </row>
    <row r="518" spans="2:14" x14ac:dyDescent="0.3">
      <c r="B518">
        <v>517</v>
      </c>
      <c r="C518" t="s">
        <v>384</v>
      </c>
      <c r="D518" t="s">
        <v>23</v>
      </c>
      <c r="E518" t="s">
        <v>20</v>
      </c>
      <c r="F518" t="s">
        <v>21</v>
      </c>
      <c r="G518" t="s">
        <v>22</v>
      </c>
      <c r="H518">
        <v>36</v>
      </c>
      <c r="I518">
        <v>1</v>
      </c>
      <c r="J518">
        <v>2</v>
      </c>
      <c r="K518" t="s">
        <v>94</v>
      </c>
      <c r="L518" t="s">
        <v>381</v>
      </c>
      <c r="M518" t="s">
        <v>382</v>
      </c>
      <c r="N518">
        <v>4</v>
      </c>
    </row>
    <row r="519" spans="2:14" x14ac:dyDescent="0.3">
      <c r="B519">
        <v>518</v>
      </c>
      <c r="C519" t="s">
        <v>385</v>
      </c>
      <c r="D519" t="s">
        <v>23</v>
      </c>
      <c r="E519" t="s">
        <v>14</v>
      </c>
      <c r="F519" t="s">
        <v>15</v>
      </c>
      <c r="G519" t="s">
        <v>16</v>
      </c>
      <c r="H519">
        <v>50</v>
      </c>
      <c r="I519">
        <v>1</v>
      </c>
      <c r="J519">
        <v>4</v>
      </c>
      <c r="K519" t="s">
        <v>94</v>
      </c>
      <c r="L519" t="s">
        <v>381</v>
      </c>
      <c r="M519" t="s">
        <v>382</v>
      </c>
      <c r="N519">
        <v>4</v>
      </c>
    </row>
    <row r="520" spans="2:14" x14ac:dyDescent="0.3">
      <c r="B520">
        <v>519</v>
      </c>
      <c r="C520" t="s">
        <v>386</v>
      </c>
      <c r="D520" t="s">
        <v>30</v>
      </c>
      <c r="E520" t="s">
        <v>20</v>
      </c>
      <c r="F520" t="s">
        <v>21</v>
      </c>
      <c r="G520" t="s">
        <v>22</v>
      </c>
      <c r="H520">
        <v>37</v>
      </c>
      <c r="I520">
        <v>1</v>
      </c>
      <c r="J520">
        <v>5</v>
      </c>
      <c r="K520" t="s">
        <v>94</v>
      </c>
      <c r="L520" t="s">
        <v>381</v>
      </c>
      <c r="M520" t="s">
        <v>382</v>
      </c>
      <c r="N520">
        <v>4</v>
      </c>
    </row>
    <row r="521" spans="2:14" x14ac:dyDescent="0.3">
      <c r="B521">
        <v>520</v>
      </c>
      <c r="C521" t="s">
        <v>387</v>
      </c>
      <c r="D521" t="s">
        <v>23</v>
      </c>
      <c r="E521" t="s">
        <v>20</v>
      </c>
      <c r="F521" t="s">
        <v>21</v>
      </c>
      <c r="G521" t="s">
        <v>22</v>
      </c>
      <c r="H521">
        <v>36</v>
      </c>
      <c r="I521">
        <v>1</v>
      </c>
      <c r="J521">
        <v>1</v>
      </c>
      <c r="K521" t="s">
        <v>94</v>
      </c>
      <c r="L521" t="s">
        <v>381</v>
      </c>
      <c r="M521" t="s">
        <v>382</v>
      </c>
      <c r="N521">
        <v>4</v>
      </c>
    </row>
    <row r="522" spans="2:14" x14ac:dyDescent="0.3">
      <c r="B522">
        <v>521</v>
      </c>
      <c r="C522" t="s">
        <v>388</v>
      </c>
      <c r="D522" t="s">
        <v>19</v>
      </c>
      <c r="E522" t="s">
        <v>14</v>
      </c>
      <c r="F522" t="s">
        <v>15</v>
      </c>
      <c r="G522" t="s">
        <v>16</v>
      </c>
      <c r="H522">
        <v>80</v>
      </c>
      <c r="I522">
        <v>1</v>
      </c>
      <c r="J522">
        <v>1</v>
      </c>
      <c r="K522" t="s">
        <v>94</v>
      </c>
      <c r="L522" t="s">
        <v>381</v>
      </c>
      <c r="M522" t="s">
        <v>382</v>
      </c>
      <c r="N522">
        <v>4</v>
      </c>
    </row>
    <row r="523" spans="2:14" x14ac:dyDescent="0.3">
      <c r="B523">
        <v>522</v>
      </c>
      <c r="C523" t="s">
        <v>389</v>
      </c>
      <c r="D523" t="s">
        <v>30</v>
      </c>
      <c r="E523" t="s">
        <v>31</v>
      </c>
      <c r="F523" t="s">
        <v>32</v>
      </c>
      <c r="G523" t="s">
        <v>33</v>
      </c>
      <c r="H523">
        <v>39</v>
      </c>
      <c r="I523">
        <v>1</v>
      </c>
      <c r="J523">
        <v>1</v>
      </c>
      <c r="K523" t="s">
        <v>94</v>
      </c>
      <c r="L523" t="s">
        <v>381</v>
      </c>
      <c r="M523" t="s">
        <v>382</v>
      </c>
      <c r="N523">
        <v>4</v>
      </c>
    </row>
    <row r="524" spans="2:14" x14ac:dyDescent="0.3">
      <c r="B524">
        <v>523</v>
      </c>
      <c r="C524" t="s">
        <v>390</v>
      </c>
      <c r="D524" t="s">
        <v>26</v>
      </c>
      <c r="E524" t="s">
        <v>20</v>
      </c>
      <c r="F524" t="s">
        <v>21</v>
      </c>
      <c r="G524" t="s">
        <v>22</v>
      </c>
      <c r="H524">
        <v>30</v>
      </c>
      <c r="I524">
        <v>2</v>
      </c>
      <c r="J524">
        <v>1</v>
      </c>
      <c r="K524" t="s">
        <v>94</v>
      </c>
      <c r="L524" t="s">
        <v>381</v>
      </c>
      <c r="M524" t="s">
        <v>382</v>
      </c>
      <c r="N524">
        <v>4</v>
      </c>
    </row>
    <row r="525" spans="2:14" x14ac:dyDescent="0.3">
      <c r="B525">
        <v>524</v>
      </c>
      <c r="C525" t="s">
        <v>391</v>
      </c>
      <c r="D525" t="s">
        <v>26</v>
      </c>
      <c r="E525" t="s">
        <v>14</v>
      </c>
      <c r="F525" t="s">
        <v>15</v>
      </c>
      <c r="G525" t="s">
        <v>16</v>
      </c>
      <c r="H525">
        <v>23</v>
      </c>
      <c r="I525">
        <v>1</v>
      </c>
      <c r="J525">
        <v>2</v>
      </c>
      <c r="K525" t="s">
        <v>94</v>
      </c>
      <c r="L525" t="s">
        <v>381</v>
      </c>
      <c r="M525" t="s">
        <v>382</v>
      </c>
      <c r="N525">
        <v>4</v>
      </c>
    </row>
    <row r="526" spans="2:14" x14ac:dyDescent="0.3">
      <c r="B526">
        <v>525</v>
      </c>
      <c r="C526" t="s">
        <v>392</v>
      </c>
      <c r="D526" t="s">
        <v>19</v>
      </c>
      <c r="E526" t="s">
        <v>14</v>
      </c>
      <c r="F526" t="s">
        <v>15</v>
      </c>
      <c r="G526" t="s">
        <v>16</v>
      </c>
      <c r="H526">
        <v>82</v>
      </c>
      <c r="I526">
        <v>1</v>
      </c>
      <c r="J526">
        <v>0</v>
      </c>
      <c r="K526" t="s">
        <v>94</v>
      </c>
      <c r="L526" t="s">
        <v>381</v>
      </c>
      <c r="M526" t="s">
        <v>382</v>
      </c>
      <c r="N526">
        <v>4</v>
      </c>
    </row>
    <row r="527" spans="2:14" x14ac:dyDescent="0.3">
      <c r="B527">
        <v>526</v>
      </c>
      <c r="C527" t="s">
        <v>393</v>
      </c>
      <c r="D527" t="s">
        <v>26</v>
      </c>
      <c r="E527" t="s">
        <v>20</v>
      </c>
      <c r="F527" t="s">
        <v>21</v>
      </c>
      <c r="G527" t="s">
        <v>22</v>
      </c>
      <c r="H527">
        <v>30</v>
      </c>
      <c r="I527">
        <v>2</v>
      </c>
      <c r="J527">
        <v>2</v>
      </c>
      <c r="K527" t="s">
        <v>94</v>
      </c>
      <c r="L527" t="s">
        <v>381</v>
      </c>
      <c r="M527" t="s">
        <v>382</v>
      </c>
      <c r="N527">
        <v>4</v>
      </c>
    </row>
    <row r="528" spans="2:14" x14ac:dyDescent="0.3">
      <c r="B528">
        <v>527</v>
      </c>
      <c r="C528" t="s">
        <v>394</v>
      </c>
      <c r="D528" t="s">
        <v>26</v>
      </c>
      <c r="E528" t="s">
        <v>20</v>
      </c>
      <c r="F528" t="s">
        <v>21</v>
      </c>
      <c r="G528" t="s">
        <v>22</v>
      </c>
      <c r="H528">
        <v>22</v>
      </c>
      <c r="I528">
        <v>1</v>
      </c>
      <c r="J528">
        <v>1</v>
      </c>
      <c r="K528" t="s">
        <v>94</v>
      </c>
      <c r="L528" t="s">
        <v>381</v>
      </c>
      <c r="M528" t="s">
        <v>382</v>
      </c>
      <c r="N528">
        <v>4</v>
      </c>
    </row>
    <row r="529" spans="2:14" x14ac:dyDescent="0.3">
      <c r="B529">
        <v>528</v>
      </c>
      <c r="C529" t="s">
        <v>395</v>
      </c>
      <c r="D529" t="s">
        <v>13</v>
      </c>
      <c r="E529" t="s">
        <v>14</v>
      </c>
      <c r="F529" t="s">
        <v>15</v>
      </c>
      <c r="G529" t="s">
        <v>16</v>
      </c>
      <c r="H529">
        <v>115</v>
      </c>
      <c r="I529">
        <v>1</v>
      </c>
      <c r="J529">
        <v>1</v>
      </c>
      <c r="K529" t="s">
        <v>94</v>
      </c>
      <c r="L529" t="s">
        <v>381</v>
      </c>
      <c r="M529" t="s">
        <v>382</v>
      </c>
      <c r="N529">
        <v>4</v>
      </c>
    </row>
    <row r="530" spans="2:14" x14ac:dyDescent="0.3">
      <c r="B530">
        <v>529</v>
      </c>
      <c r="C530" t="s">
        <v>396</v>
      </c>
      <c r="D530" t="s">
        <v>23</v>
      </c>
      <c r="E530" t="s">
        <v>20</v>
      </c>
      <c r="F530" t="s">
        <v>21</v>
      </c>
      <c r="G530" t="s">
        <v>22</v>
      </c>
      <c r="H530">
        <v>50</v>
      </c>
      <c r="I530">
        <v>1</v>
      </c>
      <c r="J530">
        <v>1</v>
      </c>
      <c r="K530" t="s">
        <v>94</v>
      </c>
      <c r="L530" t="s">
        <v>381</v>
      </c>
      <c r="M530" t="s">
        <v>382</v>
      </c>
      <c r="N530">
        <v>4</v>
      </c>
    </row>
    <row r="531" spans="2:14" x14ac:dyDescent="0.3">
      <c r="B531">
        <v>530</v>
      </c>
      <c r="C531" t="s">
        <v>397</v>
      </c>
      <c r="D531" t="s">
        <v>26</v>
      </c>
      <c r="E531" t="s">
        <v>14</v>
      </c>
      <c r="F531" t="s">
        <v>15</v>
      </c>
      <c r="G531" t="s">
        <v>16</v>
      </c>
      <c r="H531">
        <v>30</v>
      </c>
      <c r="I531">
        <v>2</v>
      </c>
      <c r="J531">
        <v>1</v>
      </c>
      <c r="K531" t="s">
        <v>94</v>
      </c>
      <c r="L531" t="s">
        <v>381</v>
      </c>
      <c r="M531" t="s">
        <v>382</v>
      </c>
      <c r="N531">
        <v>4</v>
      </c>
    </row>
    <row r="532" spans="2:14" x14ac:dyDescent="0.3">
      <c r="B532">
        <v>531</v>
      </c>
      <c r="C532" t="s">
        <v>398</v>
      </c>
      <c r="D532" t="s">
        <v>19</v>
      </c>
      <c r="E532" t="s">
        <v>31</v>
      </c>
      <c r="F532" t="s">
        <v>32</v>
      </c>
      <c r="G532" t="s">
        <v>33</v>
      </c>
      <c r="H532">
        <v>83</v>
      </c>
      <c r="I532">
        <v>1</v>
      </c>
      <c r="J532">
        <v>2</v>
      </c>
      <c r="K532" t="s">
        <v>94</v>
      </c>
      <c r="L532" t="s">
        <v>381</v>
      </c>
      <c r="M532" t="s">
        <v>382</v>
      </c>
      <c r="N532">
        <v>4</v>
      </c>
    </row>
    <row r="533" spans="2:14" x14ac:dyDescent="0.3">
      <c r="B533">
        <v>532</v>
      </c>
      <c r="C533" t="s">
        <v>399</v>
      </c>
      <c r="D533" t="s">
        <v>19</v>
      </c>
      <c r="E533" t="s">
        <v>14</v>
      </c>
      <c r="F533" t="s">
        <v>15</v>
      </c>
      <c r="G533" t="s">
        <v>16</v>
      </c>
      <c r="H533">
        <v>83</v>
      </c>
      <c r="I533">
        <v>2</v>
      </c>
      <c r="J533">
        <v>0</v>
      </c>
      <c r="K533" t="s">
        <v>94</v>
      </c>
      <c r="L533" t="s">
        <v>381</v>
      </c>
      <c r="M533" t="s">
        <v>382</v>
      </c>
      <c r="N533">
        <v>4</v>
      </c>
    </row>
    <row r="534" spans="2:14" x14ac:dyDescent="0.3">
      <c r="B534">
        <v>533</v>
      </c>
      <c r="C534" t="s">
        <v>400</v>
      </c>
      <c r="D534" t="s">
        <v>26</v>
      </c>
      <c r="E534" t="s">
        <v>20</v>
      </c>
      <c r="F534" t="s">
        <v>21</v>
      </c>
      <c r="G534" t="s">
        <v>22</v>
      </c>
      <c r="H534">
        <v>22</v>
      </c>
      <c r="I534">
        <v>2</v>
      </c>
      <c r="J534">
        <v>0</v>
      </c>
      <c r="K534" t="s">
        <v>94</v>
      </c>
      <c r="L534" t="s">
        <v>381</v>
      </c>
      <c r="M534" t="s">
        <v>382</v>
      </c>
      <c r="N534">
        <v>4</v>
      </c>
    </row>
    <row r="535" spans="2:14" x14ac:dyDescent="0.3">
      <c r="B535">
        <v>534</v>
      </c>
      <c r="C535" t="s">
        <v>401</v>
      </c>
      <c r="D535" t="s">
        <v>23</v>
      </c>
      <c r="E535" t="s">
        <v>31</v>
      </c>
      <c r="F535" t="s">
        <v>32</v>
      </c>
      <c r="G535" t="s">
        <v>33</v>
      </c>
      <c r="H535">
        <v>31</v>
      </c>
      <c r="I535">
        <v>2</v>
      </c>
      <c r="J535">
        <v>1</v>
      </c>
      <c r="K535" t="s">
        <v>94</v>
      </c>
      <c r="L535" t="s">
        <v>381</v>
      </c>
      <c r="M535" t="s">
        <v>382</v>
      </c>
      <c r="N535">
        <v>4</v>
      </c>
    </row>
    <row r="536" spans="2:14" x14ac:dyDescent="0.3">
      <c r="B536">
        <v>535</v>
      </c>
      <c r="C536" t="s">
        <v>402</v>
      </c>
      <c r="D536" t="s">
        <v>30</v>
      </c>
      <c r="E536" t="s">
        <v>20</v>
      </c>
      <c r="F536" t="s">
        <v>21</v>
      </c>
      <c r="G536" t="s">
        <v>22</v>
      </c>
      <c r="H536">
        <v>39</v>
      </c>
      <c r="I536">
        <v>1</v>
      </c>
      <c r="J536">
        <v>3</v>
      </c>
      <c r="K536" t="s">
        <v>94</v>
      </c>
      <c r="L536" t="s">
        <v>381</v>
      </c>
      <c r="M536" t="s">
        <v>382</v>
      </c>
      <c r="N536">
        <v>4</v>
      </c>
    </row>
    <row r="537" spans="2:14" x14ac:dyDescent="0.3">
      <c r="B537">
        <v>536</v>
      </c>
      <c r="C537" t="s">
        <v>403</v>
      </c>
      <c r="D537" t="s">
        <v>23</v>
      </c>
      <c r="E537" t="s">
        <v>20</v>
      </c>
      <c r="F537" t="s">
        <v>21</v>
      </c>
      <c r="G537" t="s">
        <v>22</v>
      </c>
      <c r="H537">
        <v>33</v>
      </c>
      <c r="I537">
        <v>3</v>
      </c>
      <c r="J537">
        <v>2</v>
      </c>
      <c r="K537" t="s">
        <v>94</v>
      </c>
      <c r="L537" t="s">
        <v>381</v>
      </c>
      <c r="M537" t="s">
        <v>382</v>
      </c>
      <c r="N537">
        <v>4</v>
      </c>
    </row>
    <row r="538" spans="2:14" x14ac:dyDescent="0.3">
      <c r="B538">
        <v>537</v>
      </c>
      <c r="C538" t="s">
        <v>404</v>
      </c>
      <c r="D538" t="s">
        <v>30</v>
      </c>
      <c r="E538" t="s">
        <v>31</v>
      </c>
      <c r="F538" t="s">
        <v>32</v>
      </c>
      <c r="G538" t="s">
        <v>33</v>
      </c>
      <c r="H538">
        <v>30</v>
      </c>
      <c r="I538">
        <v>2</v>
      </c>
      <c r="J538">
        <v>1</v>
      </c>
      <c r="K538" t="s">
        <v>94</v>
      </c>
      <c r="L538" t="s">
        <v>381</v>
      </c>
      <c r="M538" t="s">
        <v>382</v>
      </c>
      <c r="N538">
        <v>4</v>
      </c>
    </row>
    <row r="539" spans="2:14" x14ac:dyDescent="0.3">
      <c r="B539">
        <v>538</v>
      </c>
      <c r="C539" t="s">
        <v>405</v>
      </c>
      <c r="D539" t="s">
        <v>13</v>
      </c>
      <c r="E539" t="s">
        <v>14</v>
      </c>
      <c r="F539" t="s">
        <v>15</v>
      </c>
      <c r="G539" t="s">
        <v>16</v>
      </c>
      <c r="H539">
        <v>110</v>
      </c>
      <c r="I539">
        <v>1</v>
      </c>
      <c r="J539">
        <v>1</v>
      </c>
      <c r="K539" t="s">
        <v>94</v>
      </c>
      <c r="L539" t="s">
        <v>381</v>
      </c>
      <c r="M539" t="s">
        <v>382</v>
      </c>
      <c r="N539">
        <v>4</v>
      </c>
    </row>
    <row r="540" spans="2:14" x14ac:dyDescent="0.3">
      <c r="B540">
        <v>539</v>
      </c>
      <c r="C540" t="s">
        <v>406</v>
      </c>
      <c r="D540" t="s">
        <v>30</v>
      </c>
      <c r="E540" t="s">
        <v>14</v>
      </c>
      <c r="F540" t="s">
        <v>15</v>
      </c>
      <c r="G540" t="s">
        <v>16</v>
      </c>
      <c r="H540">
        <v>33</v>
      </c>
      <c r="I540">
        <v>1</v>
      </c>
      <c r="J540">
        <v>0</v>
      </c>
      <c r="K540" t="s">
        <v>94</v>
      </c>
      <c r="L540" t="s">
        <v>381</v>
      </c>
      <c r="M540" t="s">
        <v>382</v>
      </c>
      <c r="N540">
        <v>4</v>
      </c>
    </row>
    <row r="541" spans="2:14" x14ac:dyDescent="0.3">
      <c r="B541">
        <v>540</v>
      </c>
      <c r="C541" t="s">
        <v>407</v>
      </c>
      <c r="D541" t="s">
        <v>13</v>
      </c>
      <c r="E541" t="s">
        <v>14</v>
      </c>
      <c r="F541" t="s">
        <v>15</v>
      </c>
      <c r="G541" t="s">
        <v>16</v>
      </c>
      <c r="H541">
        <v>105</v>
      </c>
      <c r="I541">
        <v>1</v>
      </c>
      <c r="J541">
        <v>2</v>
      </c>
      <c r="K541" t="s">
        <v>94</v>
      </c>
      <c r="L541" t="s">
        <v>381</v>
      </c>
      <c r="M541" t="s">
        <v>382</v>
      </c>
      <c r="N541">
        <v>4</v>
      </c>
    </row>
    <row r="542" spans="2:14" x14ac:dyDescent="0.3">
      <c r="B542">
        <v>541</v>
      </c>
      <c r="C542" t="s">
        <v>408</v>
      </c>
      <c r="D542" t="s">
        <v>23</v>
      </c>
      <c r="E542" t="s">
        <v>31</v>
      </c>
      <c r="F542" t="s">
        <v>32</v>
      </c>
      <c r="G542" t="s">
        <v>33</v>
      </c>
      <c r="H542">
        <v>31</v>
      </c>
      <c r="I542">
        <v>1</v>
      </c>
      <c r="J542">
        <v>0</v>
      </c>
      <c r="K542" t="s">
        <v>94</v>
      </c>
      <c r="L542" t="s">
        <v>381</v>
      </c>
      <c r="M542" t="s">
        <v>382</v>
      </c>
      <c r="N542">
        <v>4</v>
      </c>
    </row>
    <row r="543" spans="2:14" x14ac:dyDescent="0.3">
      <c r="B543">
        <v>542</v>
      </c>
      <c r="C543" t="s">
        <v>409</v>
      </c>
      <c r="D543" t="s">
        <v>30</v>
      </c>
      <c r="E543" t="s">
        <v>31</v>
      </c>
      <c r="F543" t="s">
        <v>32</v>
      </c>
      <c r="G543" t="s">
        <v>33</v>
      </c>
      <c r="H543">
        <v>39</v>
      </c>
      <c r="I543">
        <v>1</v>
      </c>
      <c r="J543">
        <v>0</v>
      </c>
      <c r="K543" t="s">
        <v>94</v>
      </c>
      <c r="L543" t="s">
        <v>381</v>
      </c>
      <c r="M543" t="s">
        <v>382</v>
      </c>
      <c r="N543">
        <v>4</v>
      </c>
    </row>
    <row r="544" spans="2:14" x14ac:dyDescent="0.3">
      <c r="B544">
        <v>543</v>
      </c>
      <c r="C544" t="s">
        <v>410</v>
      </c>
      <c r="D544" t="s">
        <v>30</v>
      </c>
      <c r="E544" t="s">
        <v>31</v>
      </c>
      <c r="F544" t="s">
        <v>32</v>
      </c>
      <c r="G544" t="s">
        <v>33</v>
      </c>
      <c r="H544">
        <v>30</v>
      </c>
      <c r="I544">
        <v>2</v>
      </c>
      <c r="J544">
        <v>2</v>
      </c>
      <c r="K544" t="s">
        <v>94</v>
      </c>
      <c r="L544" t="s">
        <v>381</v>
      </c>
      <c r="M544" t="s">
        <v>382</v>
      </c>
      <c r="N544">
        <v>4</v>
      </c>
    </row>
    <row r="545" spans="2:14" x14ac:dyDescent="0.3">
      <c r="B545">
        <v>544</v>
      </c>
      <c r="C545" t="s">
        <v>411</v>
      </c>
      <c r="D545" t="s">
        <v>30</v>
      </c>
      <c r="E545" t="s">
        <v>14</v>
      </c>
      <c r="F545" t="s">
        <v>15</v>
      </c>
      <c r="G545" t="s">
        <v>16</v>
      </c>
      <c r="H545">
        <v>40</v>
      </c>
      <c r="I545">
        <v>3</v>
      </c>
      <c r="J545">
        <v>1</v>
      </c>
      <c r="K545" t="s">
        <v>94</v>
      </c>
      <c r="L545" t="s">
        <v>381</v>
      </c>
      <c r="M545" t="s">
        <v>382</v>
      </c>
      <c r="N545">
        <v>4</v>
      </c>
    </row>
    <row r="546" spans="2:14" x14ac:dyDescent="0.3">
      <c r="B546">
        <v>545</v>
      </c>
      <c r="C546" t="s">
        <v>412</v>
      </c>
      <c r="D546" t="s">
        <v>23</v>
      </c>
      <c r="E546" t="s">
        <v>14</v>
      </c>
      <c r="F546" t="s">
        <v>15</v>
      </c>
      <c r="G546" t="s">
        <v>16</v>
      </c>
      <c r="H546">
        <v>50</v>
      </c>
      <c r="I546">
        <v>1</v>
      </c>
      <c r="J546">
        <v>1</v>
      </c>
      <c r="K546" t="s">
        <v>94</v>
      </c>
      <c r="L546" t="s">
        <v>381</v>
      </c>
      <c r="M546" t="s">
        <v>413</v>
      </c>
      <c r="N546">
        <v>5</v>
      </c>
    </row>
    <row r="547" spans="2:14" x14ac:dyDescent="0.3">
      <c r="B547">
        <v>546</v>
      </c>
      <c r="C547" t="s">
        <v>414</v>
      </c>
      <c r="D547" t="s">
        <v>19</v>
      </c>
      <c r="E547" t="s">
        <v>31</v>
      </c>
      <c r="F547" t="s">
        <v>32</v>
      </c>
      <c r="G547" t="s">
        <v>33</v>
      </c>
      <c r="H547">
        <v>85</v>
      </c>
      <c r="I547">
        <v>3</v>
      </c>
      <c r="J547">
        <v>2</v>
      </c>
      <c r="K547" t="s">
        <v>94</v>
      </c>
      <c r="L547" t="s">
        <v>381</v>
      </c>
      <c r="M547" t="s">
        <v>413</v>
      </c>
      <c r="N547">
        <v>5</v>
      </c>
    </row>
    <row r="548" spans="2:14" x14ac:dyDescent="0.3">
      <c r="B548">
        <v>547</v>
      </c>
      <c r="C548" t="s">
        <v>415</v>
      </c>
      <c r="D548" t="s">
        <v>23</v>
      </c>
      <c r="E548" t="s">
        <v>14</v>
      </c>
      <c r="F548" t="s">
        <v>15</v>
      </c>
      <c r="G548" t="s">
        <v>16</v>
      </c>
      <c r="H548">
        <v>37</v>
      </c>
      <c r="I548">
        <v>2</v>
      </c>
      <c r="J548">
        <v>2</v>
      </c>
      <c r="K548" t="s">
        <v>94</v>
      </c>
      <c r="L548" t="s">
        <v>381</v>
      </c>
      <c r="M548" t="s">
        <v>413</v>
      </c>
      <c r="N548">
        <v>5</v>
      </c>
    </row>
    <row r="549" spans="2:14" x14ac:dyDescent="0.3">
      <c r="B549">
        <v>548</v>
      </c>
      <c r="C549" t="s">
        <v>416</v>
      </c>
      <c r="D549" t="s">
        <v>26</v>
      </c>
      <c r="E549" t="s">
        <v>14</v>
      </c>
      <c r="F549" t="s">
        <v>15</v>
      </c>
      <c r="G549" t="s">
        <v>16</v>
      </c>
      <c r="H549">
        <v>21</v>
      </c>
      <c r="I549">
        <v>1</v>
      </c>
      <c r="J549">
        <v>1</v>
      </c>
      <c r="K549" t="s">
        <v>94</v>
      </c>
      <c r="L549" t="s">
        <v>381</v>
      </c>
      <c r="M549" t="s">
        <v>413</v>
      </c>
      <c r="N549">
        <v>5</v>
      </c>
    </row>
    <row r="550" spans="2:14" x14ac:dyDescent="0.3">
      <c r="B550">
        <v>549</v>
      </c>
      <c r="C550" t="s">
        <v>417</v>
      </c>
      <c r="D550" t="s">
        <v>30</v>
      </c>
      <c r="E550" t="s">
        <v>20</v>
      </c>
      <c r="F550" t="s">
        <v>21</v>
      </c>
      <c r="G550" t="s">
        <v>22</v>
      </c>
      <c r="H550">
        <v>40</v>
      </c>
      <c r="I550">
        <v>1</v>
      </c>
      <c r="J550">
        <v>1</v>
      </c>
      <c r="K550" t="s">
        <v>94</v>
      </c>
      <c r="L550" t="s">
        <v>381</v>
      </c>
      <c r="M550" t="s">
        <v>413</v>
      </c>
      <c r="N550">
        <v>5</v>
      </c>
    </row>
    <row r="551" spans="2:14" x14ac:dyDescent="0.3">
      <c r="B551">
        <v>550</v>
      </c>
      <c r="C551" t="s">
        <v>418</v>
      </c>
      <c r="D551" t="s">
        <v>26</v>
      </c>
      <c r="E551" t="s">
        <v>14</v>
      </c>
      <c r="F551" t="s">
        <v>15</v>
      </c>
      <c r="G551" t="s">
        <v>16</v>
      </c>
      <c r="H551">
        <v>30</v>
      </c>
      <c r="I551">
        <v>1</v>
      </c>
      <c r="J551">
        <v>1</v>
      </c>
      <c r="K551" t="s">
        <v>94</v>
      </c>
      <c r="L551" t="s">
        <v>381</v>
      </c>
      <c r="M551" t="s">
        <v>413</v>
      </c>
      <c r="N551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WELLISON BRAZ DA SILVA</dc:creator>
  <cp:lastModifiedBy>WELLISON BRAZ DA SILVA</cp:lastModifiedBy>
  <dcterms:created xsi:type="dcterms:W3CDTF">2026-07-08T18:35:40Z</dcterms:created>
  <dcterms:modified xsi:type="dcterms:W3CDTF">2026-07-15T12:37:23Z</dcterms:modified>
</cp:coreProperties>
</file>
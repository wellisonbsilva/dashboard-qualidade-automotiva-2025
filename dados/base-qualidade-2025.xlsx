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SIN\Desktop\Projetos Pessoais\dados\"/>
    </mc:Choice>
  </mc:AlternateContent>
  <xr:revisionPtr revIDLastSave="0" documentId="8_{E80D4721-1FEC-4DAA-9A96-1DC52401E877}" xr6:coauthVersionLast="47" xr6:coauthVersionMax="47" xr10:uidLastSave="{00000000-0000-0000-0000-000000000000}"/>
  <bookViews>
    <workbookView xWindow="3000" yWindow="3000" windowWidth="17280" windowHeight="8880" xr2:uid="{F449FAA6-1796-4098-8735-65DB73C608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1" i="1" l="1"/>
  <c r="L241" i="1" s="1"/>
  <c r="M241" i="1"/>
  <c r="N240" i="1"/>
  <c r="L240" i="1" s="1"/>
  <c r="M240" i="1"/>
  <c r="N239" i="1"/>
  <c r="L239" i="1" s="1"/>
  <c r="M239" i="1"/>
  <c r="N238" i="1"/>
  <c r="L238" i="1" s="1"/>
  <c r="M238" i="1"/>
  <c r="N237" i="1"/>
  <c r="L237" i="1" s="1"/>
  <c r="M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L230" i="1" s="1"/>
  <c r="M230" i="1"/>
  <c r="N229" i="1"/>
  <c r="L229" i="1" s="1"/>
  <c r="M229" i="1"/>
  <c r="N228" i="1"/>
  <c r="L228" i="1" s="1"/>
  <c r="M228" i="1"/>
  <c r="N227" i="1"/>
  <c r="L227" i="1" s="1"/>
  <c r="M227" i="1"/>
  <c r="N226" i="1"/>
  <c r="L226" i="1" s="1"/>
  <c r="M226" i="1"/>
  <c r="N225" i="1"/>
  <c r="L225" i="1" s="1"/>
  <c r="M225" i="1"/>
  <c r="N224" i="1"/>
  <c r="M224" i="1"/>
  <c r="L224" i="1"/>
  <c r="N223" i="1"/>
  <c r="L223" i="1" s="1"/>
  <c r="M223" i="1"/>
  <c r="N222" i="1"/>
  <c r="M222" i="1"/>
  <c r="L222" i="1"/>
  <c r="N221" i="1"/>
  <c r="L221" i="1" s="1"/>
  <c r="M221" i="1"/>
  <c r="N220" i="1"/>
  <c r="M220" i="1"/>
  <c r="L220" i="1"/>
  <c r="N219" i="1"/>
  <c r="M219" i="1"/>
  <c r="L219" i="1"/>
  <c r="N218" i="1"/>
  <c r="L218" i="1" s="1"/>
  <c r="M218" i="1"/>
  <c r="N217" i="1"/>
  <c r="M217" i="1"/>
  <c r="L217" i="1"/>
  <c r="N216" i="1"/>
  <c r="L216" i="1" s="1"/>
  <c r="M216" i="1"/>
  <c r="N215" i="1"/>
  <c r="M215" i="1"/>
  <c r="L215" i="1"/>
  <c r="N214" i="1"/>
  <c r="L214" i="1" s="1"/>
  <c r="M214" i="1"/>
  <c r="N213" i="1"/>
  <c r="L213" i="1" s="1"/>
  <c r="M213" i="1"/>
  <c r="N212" i="1"/>
  <c r="L212" i="1" s="1"/>
  <c r="M212" i="1"/>
  <c r="N211" i="1"/>
  <c r="L211" i="1" s="1"/>
  <c r="M211" i="1"/>
  <c r="N210" i="1"/>
  <c r="L210" i="1" s="1"/>
  <c r="M210" i="1"/>
  <c r="N209" i="1"/>
  <c r="L209" i="1" s="1"/>
  <c r="M209" i="1"/>
  <c r="N208" i="1"/>
  <c r="M208" i="1"/>
  <c r="L208" i="1"/>
  <c r="N207" i="1"/>
  <c r="L207" i="1" s="1"/>
  <c r="M207" i="1"/>
  <c r="N206" i="1"/>
  <c r="M206" i="1"/>
  <c r="L206" i="1"/>
  <c r="N205" i="1"/>
  <c r="L205" i="1" s="1"/>
  <c r="M205" i="1"/>
  <c r="N204" i="1"/>
  <c r="M204" i="1"/>
  <c r="L204" i="1"/>
  <c r="N203" i="1"/>
  <c r="M203" i="1"/>
  <c r="L203" i="1"/>
  <c r="N202" i="1"/>
  <c r="L202" i="1" s="1"/>
  <c r="M202" i="1"/>
  <c r="N201" i="1"/>
  <c r="M201" i="1"/>
  <c r="L201" i="1"/>
  <c r="N200" i="1"/>
  <c r="L200" i="1" s="1"/>
  <c r="M200" i="1"/>
  <c r="N199" i="1"/>
  <c r="M199" i="1"/>
  <c r="L199" i="1"/>
  <c r="N198" i="1"/>
  <c r="L198" i="1" s="1"/>
  <c r="M198" i="1"/>
  <c r="N197" i="1"/>
  <c r="L197" i="1" s="1"/>
  <c r="M197" i="1"/>
  <c r="N196" i="1"/>
  <c r="L196" i="1" s="1"/>
  <c r="M196" i="1"/>
  <c r="N195" i="1"/>
  <c r="L195" i="1" s="1"/>
  <c r="M195" i="1"/>
  <c r="N194" i="1"/>
  <c r="L194" i="1" s="1"/>
  <c r="M194" i="1"/>
  <c r="N193" i="1"/>
  <c r="L193" i="1" s="1"/>
  <c r="M193" i="1"/>
  <c r="N192" i="1"/>
  <c r="M192" i="1"/>
  <c r="L192" i="1"/>
  <c r="N191" i="1"/>
  <c r="L191" i="1" s="1"/>
  <c r="M191" i="1"/>
  <c r="N190" i="1"/>
  <c r="M190" i="1"/>
  <c r="L190" i="1"/>
  <c r="N189" i="1"/>
  <c r="L189" i="1" s="1"/>
  <c r="M189" i="1"/>
  <c r="N188" i="1"/>
  <c r="M188" i="1"/>
  <c r="L188" i="1"/>
  <c r="N187" i="1"/>
  <c r="M187" i="1"/>
  <c r="L187" i="1"/>
  <c r="N186" i="1"/>
  <c r="L186" i="1" s="1"/>
  <c r="M186" i="1"/>
  <c r="N185" i="1"/>
  <c r="M185" i="1"/>
  <c r="L185" i="1"/>
  <c r="N184" i="1"/>
  <c r="L184" i="1" s="1"/>
  <c r="M184" i="1"/>
  <c r="N183" i="1"/>
  <c r="M183" i="1"/>
  <c r="L183" i="1"/>
  <c r="N182" i="1"/>
  <c r="L182" i="1" s="1"/>
  <c r="M182" i="1"/>
  <c r="N181" i="1"/>
  <c r="L181" i="1" s="1"/>
  <c r="M181" i="1"/>
  <c r="N180" i="1"/>
  <c r="L180" i="1" s="1"/>
  <c r="M180" i="1"/>
  <c r="N179" i="1"/>
  <c r="L179" i="1" s="1"/>
  <c r="M179" i="1"/>
  <c r="N178" i="1"/>
  <c r="L178" i="1" s="1"/>
  <c r="M178" i="1"/>
  <c r="N177" i="1"/>
  <c r="L177" i="1" s="1"/>
  <c r="M177" i="1"/>
  <c r="N176" i="1"/>
  <c r="M176" i="1"/>
  <c r="L176" i="1"/>
  <c r="N175" i="1"/>
  <c r="L175" i="1" s="1"/>
  <c r="M175" i="1"/>
  <c r="N174" i="1"/>
  <c r="M174" i="1"/>
  <c r="L174" i="1"/>
  <c r="N173" i="1"/>
  <c r="L173" i="1" s="1"/>
  <c r="M173" i="1"/>
  <c r="N172" i="1"/>
  <c r="M172" i="1"/>
  <c r="L172" i="1"/>
  <c r="N171" i="1"/>
  <c r="M171" i="1"/>
  <c r="L171" i="1"/>
  <c r="N170" i="1"/>
  <c r="L170" i="1" s="1"/>
  <c r="M170" i="1"/>
  <c r="N169" i="1"/>
  <c r="M169" i="1"/>
  <c r="L169" i="1"/>
  <c r="N168" i="1"/>
  <c r="L168" i="1" s="1"/>
  <c r="M168" i="1"/>
  <c r="N167" i="1"/>
  <c r="M167" i="1"/>
  <c r="L167" i="1"/>
  <c r="N166" i="1"/>
  <c r="L166" i="1" s="1"/>
  <c r="M166" i="1"/>
  <c r="N165" i="1"/>
  <c r="L165" i="1" s="1"/>
  <c r="M165" i="1"/>
  <c r="N164" i="1"/>
  <c r="L164" i="1" s="1"/>
  <c r="M164" i="1"/>
  <c r="N163" i="1"/>
  <c r="L163" i="1" s="1"/>
  <c r="M163" i="1"/>
  <c r="N162" i="1"/>
  <c r="L162" i="1" s="1"/>
  <c r="M162" i="1"/>
  <c r="N161" i="1"/>
  <c r="L161" i="1" s="1"/>
  <c r="M161" i="1"/>
  <c r="N160" i="1"/>
  <c r="M160" i="1"/>
  <c r="L160" i="1"/>
  <c r="N159" i="1"/>
  <c r="L159" i="1" s="1"/>
  <c r="M159" i="1"/>
  <c r="N158" i="1"/>
  <c r="M158" i="1"/>
  <c r="L158" i="1"/>
  <c r="N157" i="1"/>
  <c r="L157" i="1" s="1"/>
  <c r="M157" i="1"/>
  <c r="N156" i="1"/>
  <c r="M156" i="1"/>
  <c r="L156" i="1"/>
  <c r="N155" i="1"/>
  <c r="M155" i="1"/>
  <c r="L155" i="1"/>
  <c r="N154" i="1"/>
  <c r="L154" i="1" s="1"/>
  <c r="M154" i="1"/>
  <c r="N153" i="1"/>
  <c r="M153" i="1"/>
  <c r="L153" i="1"/>
  <c r="N152" i="1"/>
  <c r="L152" i="1" s="1"/>
  <c r="M152" i="1"/>
  <c r="N151" i="1"/>
  <c r="M151" i="1"/>
  <c r="L151" i="1"/>
  <c r="N150" i="1"/>
  <c r="L150" i="1" s="1"/>
  <c r="M150" i="1"/>
  <c r="N149" i="1"/>
  <c r="L149" i="1" s="1"/>
  <c r="M149" i="1"/>
  <c r="N148" i="1"/>
  <c r="L148" i="1" s="1"/>
  <c r="M148" i="1"/>
  <c r="N147" i="1"/>
  <c r="L147" i="1" s="1"/>
  <c r="M147" i="1"/>
  <c r="N146" i="1"/>
  <c r="L146" i="1" s="1"/>
  <c r="M146" i="1"/>
  <c r="N145" i="1"/>
  <c r="L145" i="1" s="1"/>
  <c r="M145" i="1"/>
  <c r="N144" i="1"/>
  <c r="M144" i="1"/>
  <c r="L144" i="1"/>
  <c r="N143" i="1"/>
  <c r="L143" i="1" s="1"/>
  <c r="M143" i="1"/>
  <c r="N142" i="1"/>
  <c r="M142" i="1"/>
  <c r="L142" i="1"/>
  <c r="N141" i="1"/>
  <c r="L141" i="1" s="1"/>
  <c r="M141" i="1"/>
  <c r="N140" i="1"/>
  <c r="M140" i="1"/>
  <c r="L140" i="1"/>
  <c r="N139" i="1"/>
  <c r="M139" i="1"/>
  <c r="L139" i="1"/>
  <c r="N138" i="1"/>
  <c r="L138" i="1" s="1"/>
  <c r="M138" i="1"/>
  <c r="N137" i="1"/>
  <c r="M137" i="1"/>
  <c r="L137" i="1"/>
  <c r="N136" i="1"/>
  <c r="L136" i="1" s="1"/>
  <c r="M136" i="1"/>
  <c r="N135" i="1"/>
  <c r="M135" i="1"/>
  <c r="L135" i="1"/>
  <c r="N134" i="1"/>
  <c r="L134" i="1" s="1"/>
  <c r="M134" i="1"/>
  <c r="N133" i="1"/>
  <c r="L133" i="1" s="1"/>
  <c r="M133" i="1"/>
  <c r="N132" i="1"/>
  <c r="L132" i="1" s="1"/>
  <c r="M132" i="1"/>
  <c r="N131" i="1"/>
  <c r="L131" i="1" s="1"/>
  <c r="M131" i="1"/>
  <c r="N130" i="1"/>
  <c r="L130" i="1" s="1"/>
  <c r="M130" i="1"/>
  <c r="N129" i="1"/>
  <c r="L129" i="1" s="1"/>
  <c r="M129" i="1"/>
  <c r="N128" i="1"/>
  <c r="M128" i="1"/>
  <c r="L128" i="1"/>
  <c r="N127" i="1"/>
  <c r="L127" i="1" s="1"/>
  <c r="M127" i="1"/>
  <c r="N126" i="1"/>
  <c r="M126" i="1"/>
  <c r="L126" i="1"/>
  <c r="N125" i="1"/>
  <c r="L125" i="1" s="1"/>
  <c r="M125" i="1"/>
  <c r="N124" i="1"/>
  <c r="M124" i="1"/>
  <c r="L124" i="1"/>
  <c r="N123" i="1"/>
  <c r="M123" i="1"/>
  <c r="L123" i="1"/>
  <c r="N122" i="1"/>
  <c r="L122" i="1" s="1"/>
  <c r="M122" i="1"/>
  <c r="N121" i="1"/>
  <c r="M121" i="1"/>
  <c r="L121" i="1"/>
  <c r="N120" i="1"/>
  <c r="L120" i="1" s="1"/>
  <c r="M120" i="1"/>
  <c r="N119" i="1"/>
  <c r="M119" i="1"/>
  <c r="L119" i="1"/>
  <c r="N118" i="1"/>
  <c r="L118" i="1" s="1"/>
  <c r="M118" i="1"/>
  <c r="N117" i="1"/>
  <c r="L117" i="1" s="1"/>
  <c r="M117" i="1"/>
  <c r="N116" i="1"/>
  <c r="L116" i="1" s="1"/>
  <c r="M116" i="1"/>
  <c r="N115" i="1"/>
  <c r="L115" i="1" s="1"/>
  <c r="M115" i="1"/>
  <c r="N114" i="1"/>
  <c r="L114" i="1" s="1"/>
  <c r="M114" i="1"/>
  <c r="N113" i="1"/>
  <c r="L113" i="1" s="1"/>
  <c r="M113" i="1"/>
  <c r="N112" i="1"/>
  <c r="M112" i="1"/>
  <c r="L112" i="1"/>
  <c r="N111" i="1"/>
  <c r="L111" i="1" s="1"/>
  <c r="M111" i="1"/>
  <c r="N110" i="1"/>
  <c r="M110" i="1"/>
  <c r="L110" i="1"/>
  <c r="N109" i="1"/>
  <c r="L109" i="1" s="1"/>
  <c r="M109" i="1"/>
  <c r="N108" i="1"/>
  <c r="M108" i="1"/>
  <c r="L108" i="1"/>
  <c r="N107" i="1"/>
  <c r="M107" i="1"/>
  <c r="L107" i="1"/>
  <c r="N106" i="1"/>
  <c r="L106" i="1" s="1"/>
  <c r="M106" i="1"/>
  <c r="N105" i="1"/>
  <c r="M105" i="1"/>
  <c r="L105" i="1"/>
  <c r="N104" i="1"/>
  <c r="L104" i="1" s="1"/>
  <c r="M104" i="1"/>
  <c r="N103" i="1"/>
  <c r="M103" i="1"/>
  <c r="L103" i="1"/>
  <c r="N102" i="1"/>
  <c r="L102" i="1" s="1"/>
  <c r="M102" i="1"/>
  <c r="N101" i="1"/>
  <c r="L101" i="1" s="1"/>
  <c r="M101" i="1"/>
  <c r="N100" i="1"/>
  <c r="L100" i="1" s="1"/>
  <c r="M100" i="1"/>
  <c r="N99" i="1"/>
  <c r="L99" i="1" s="1"/>
  <c r="M99" i="1"/>
  <c r="N98" i="1"/>
  <c r="L98" i="1" s="1"/>
  <c r="M98" i="1"/>
  <c r="N97" i="1"/>
  <c r="L97" i="1" s="1"/>
  <c r="M97" i="1"/>
  <c r="N96" i="1"/>
  <c r="M96" i="1"/>
  <c r="L96" i="1"/>
  <c r="N95" i="1"/>
  <c r="L95" i="1" s="1"/>
  <c r="M95" i="1"/>
  <c r="N94" i="1"/>
  <c r="M94" i="1"/>
  <c r="L94" i="1"/>
  <c r="N93" i="1"/>
  <c r="L93" i="1" s="1"/>
  <c r="M93" i="1"/>
  <c r="N92" i="1"/>
  <c r="M92" i="1"/>
  <c r="L92" i="1"/>
  <c r="N91" i="1"/>
  <c r="M91" i="1"/>
  <c r="L91" i="1"/>
  <c r="N90" i="1"/>
  <c r="L90" i="1" s="1"/>
  <c r="M90" i="1"/>
  <c r="N89" i="1"/>
  <c r="M89" i="1"/>
  <c r="L89" i="1"/>
  <c r="N88" i="1"/>
  <c r="L88" i="1" s="1"/>
  <c r="M88" i="1"/>
  <c r="N87" i="1"/>
  <c r="M87" i="1"/>
  <c r="L87" i="1"/>
  <c r="N86" i="1"/>
  <c r="L86" i="1" s="1"/>
  <c r="M86" i="1"/>
  <c r="N85" i="1"/>
  <c r="L85" i="1" s="1"/>
  <c r="M85" i="1"/>
  <c r="N84" i="1"/>
  <c r="L84" i="1" s="1"/>
  <c r="M84" i="1"/>
  <c r="N83" i="1"/>
  <c r="L83" i="1" s="1"/>
  <c r="M83" i="1"/>
  <c r="N82" i="1"/>
  <c r="L82" i="1" s="1"/>
  <c r="M82" i="1"/>
  <c r="N81" i="1"/>
  <c r="L81" i="1" s="1"/>
  <c r="M81" i="1"/>
  <c r="N80" i="1"/>
  <c r="M80" i="1"/>
  <c r="L80" i="1"/>
  <c r="N79" i="1"/>
  <c r="L79" i="1" s="1"/>
  <c r="M79" i="1"/>
  <c r="N78" i="1"/>
  <c r="M78" i="1"/>
  <c r="L78" i="1"/>
  <c r="N77" i="1"/>
  <c r="L77" i="1" s="1"/>
  <c r="M77" i="1"/>
  <c r="N76" i="1"/>
  <c r="M76" i="1"/>
  <c r="L76" i="1"/>
  <c r="N75" i="1"/>
  <c r="M75" i="1"/>
  <c r="L75" i="1"/>
  <c r="N74" i="1"/>
  <c r="L74" i="1" s="1"/>
  <c r="M74" i="1"/>
  <c r="N73" i="1"/>
  <c r="M73" i="1"/>
  <c r="L73" i="1"/>
  <c r="N72" i="1"/>
  <c r="L72" i="1" s="1"/>
  <c r="M72" i="1"/>
  <c r="N71" i="1"/>
  <c r="M71" i="1"/>
  <c r="L71" i="1"/>
  <c r="N70" i="1"/>
  <c r="L70" i="1" s="1"/>
  <c r="M70" i="1"/>
  <c r="N69" i="1"/>
  <c r="L69" i="1" s="1"/>
  <c r="M69" i="1"/>
  <c r="N68" i="1"/>
  <c r="L68" i="1" s="1"/>
  <c r="M68" i="1"/>
  <c r="N67" i="1"/>
  <c r="L67" i="1" s="1"/>
  <c r="M67" i="1"/>
  <c r="N66" i="1"/>
  <c r="L66" i="1" s="1"/>
  <c r="M66" i="1"/>
  <c r="N65" i="1"/>
  <c r="L65" i="1" s="1"/>
  <c r="M65" i="1"/>
  <c r="N64" i="1"/>
  <c r="M64" i="1"/>
  <c r="L64" i="1"/>
  <c r="N63" i="1"/>
  <c r="L63" i="1" s="1"/>
  <c r="M63" i="1"/>
  <c r="N62" i="1"/>
  <c r="M62" i="1"/>
  <c r="L62" i="1"/>
  <c r="N61" i="1"/>
  <c r="L61" i="1" s="1"/>
  <c r="M61" i="1"/>
  <c r="N60" i="1"/>
  <c r="M60" i="1"/>
  <c r="L60" i="1"/>
  <c r="N59" i="1"/>
  <c r="L59" i="1" s="1"/>
  <c r="M59" i="1"/>
  <c r="N58" i="1"/>
  <c r="L58" i="1" s="1"/>
  <c r="M58" i="1"/>
  <c r="N57" i="1"/>
  <c r="M57" i="1"/>
  <c r="L57" i="1"/>
  <c r="N56" i="1"/>
  <c r="L56" i="1" s="1"/>
  <c r="M56" i="1"/>
  <c r="N55" i="1"/>
  <c r="M55" i="1"/>
  <c r="L55" i="1"/>
  <c r="N54" i="1"/>
  <c r="L54" i="1" s="1"/>
  <c r="M54" i="1"/>
  <c r="N53" i="1"/>
  <c r="L53" i="1" s="1"/>
  <c r="M53" i="1"/>
  <c r="N52" i="1"/>
  <c r="L52" i="1" s="1"/>
  <c r="M52" i="1"/>
  <c r="N51" i="1"/>
  <c r="M51" i="1"/>
  <c r="L51" i="1"/>
  <c r="N50" i="1"/>
  <c r="L50" i="1" s="1"/>
  <c r="M50" i="1"/>
  <c r="N49" i="1"/>
  <c r="M49" i="1"/>
  <c r="L49" i="1"/>
  <c r="N48" i="1"/>
  <c r="M48" i="1"/>
  <c r="L48" i="1"/>
  <c r="N47" i="1"/>
  <c r="L47" i="1" s="1"/>
  <c r="M47" i="1"/>
  <c r="N46" i="1"/>
  <c r="L46" i="1" s="1"/>
  <c r="M46" i="1"/>
  <c r="N45" i="1"/>
  <c r="L45" i="1" s="1"/>
  <c r="M45" i="1"/>
  <c r="N44" i="1"/>
  <c r="M44" i="1"/>
  <c r="L44" i="1"/>
  <c r="N43" i="1"/>
  <c r="L43" i="1" s="1"/>
  <c r="M43" i="1"/>
  <c r="N42" i="1"/>
  <c r="L42" i="1" s="1"/>
  <c r="M42" i="1"/>
  <c r="N41" i="1"/>
  <c r="M41" i="1"/>
  <c r="L41" i="1"/>
  <c r="N40" i="1"/>
  <c r="L40" i="1" s="1"/>
  <c r="M40" i="1"/>
  <c r="N39" i="1"/>
  <c r="M39" i="1"/>
  <c r="L39" i="1"/>
  <c r="N38" i="1"/>
  <c r="L38" i="1" s="1"/>
  <c r="M38" i="1"/>
  <c r="N37" i="1"/>
  <c r="L37" i="1" s="1"/>
  <c r="M37" i="1"/>
  <c r="N36" i="1"/>
  <c r="L36" i="1" s="1"/>
  <c r="M36" i="1"/>
  <c r="N35" i="1"/>
  <c r="M35" i="1"/>
  <c r="L35" i="1"/>
  <c r="N34" i="1"/>
  <c r="L34" i="1" s="1"/>
  <c r="M34" i="1"/>
  <c r="N33" i="1"/>
  <c r="M33" i="1"/>
  <c r="L33" i="1"/>
  <c r="N32" i="1"/>
  <c r="M32" i="1"/>
  <c r="L32" i="1"/>
  <c r="N31" i="1"/>
  <c r="L31" i="1" s="1"/>
  <c r="M31" i="1"/>
  <c r="N30" i="1"/>
  <c r="M30" i="1"/>
  <c r="L30" i="1"/>
  <c r="N29" i="1"/>
  <c r="L29" i="1" s="1"/>
  <c r="M29" i="1"/>
  <c r="N28" i="1"/>
  <c r="M28" i="1"/>
  <c r="L28" i="1"/>
  <c r="N27" i="1"/>
  <c r="L27" i="1" s="1"/>
  <c r="M27" i="1"/>
  <c r="N26" i="1"/>
  <c r="L26" i="1" s="1"/>
  <c r="M26" i="1"/>
  <c r="N25" i="1"/>
  <c r="M25" i="1"/>
  <c r="L25" i="1"/>
  <c r="N24" i="1"/>
  <c r="L24" i="1" s="1"/>
  <c r="M24" i="1"/>
  <c r="N23" i="1"/>
  <c r="M23" i="1"/>
  <c r="L23" i="1"/>
  <c r="N22" i="1"/>
  <c r="L22" i="1" s="1"/>
  <c r="M22" i="1"/>
  <c r="N21" i="1"/>
  <c r="L21" i="1" s="1"/>
  <c r="M21" i="1"/>
  <c r="N20" i="1"/>
  <c r="L20" i="1" s="1"/>
  <c r="M20" i="1"/>
  <c r="N19" i="1"/>
  <c r="M19" i="1"/>
  <c r="L19" i="1"/>
  <c r="N18" i="1"/>
  <c r="L18" i="1" s="1"/>
  <c r="M18" i="1"/>
  <c r="N17" i="1"/>
  <c r="M17" i="1"/>
  <c r="L17" i="1"/>
  <c r="N16" i="1"/>
  <c r="M16" i="1"/>
  <c r="L16" i="1"/>
  <c r="N15" i="1"/>
  <c r="L15" i="1" s="1"/>
  <c r="M15" i="1"/>
  <c r="N14" i="1"/>
  <c r="M14" i="1"/>
  <c r="L14" i="1"/>
  <c r="N13" i="1"/>
  <c r="L13" i="1" s="1"/>
  <c r="M13" i="1"/>
  <c r="N12" i="1"/>
  <c r="M12" i="1"/>
  <c r="L12" i="1"/>
  <c r="N11" i="1"/>
  <c r="L11" i="1" s="1"/>
  <c r="M11" i="1"/>
  <c r="N10" i="1"/>
  <c r="M10" i="1"/>
  <c r="L10" i="1"/>
  <c r="N9" i="1"/>
  <c r="M9" i="1"/>
  <c r="L9" i="1"/>
  <c r="N8" i="1"/>
  <c r="L8" i="1" s="1"/>
  <c r="M8" i="1"/>
  <c r="N7" i="1"/>
  <c r="M7" i="1"/>
  <c r="L7" i="1"/>
  <c r="N6" i="1"/>
  <c r="L6" i="1" s="1"/>
  <c r="M6" i="1"/>
  <c r="N5" i="1"/>
  <c r="L5" i="1" s="1"/>
  <c r="M5" i="1"/>
  <c r="N4" i="1"/>
  <c r="L4" i="1" s="1"/>
  <c r="M4" i="1"/>
  <c r="N3" i="1"/>
  <c r="M3" i="1"/>
  <c r="L3" i="1"/>
  <c r="N2" i="1"/>
  <c r="L2" i="1" s="1"/>
  <c r="M2" i="1"/>
</calcChain>
</file>

<file path=xl/sharedStrings.xml><?xml version="1.0" encoding="utf-8"?>
<sst xmlns="http://schemas.openxmlformats.org/spreadsheetml/2006/main" count="1023" uniqueCount="93">
  <si>
    <t>ID</t>
  </si>
  <si>
    <t>Data</t>
  </si>
  <si>
    <t>Modelo</t>
  </si>
  <si>
    <t>Área</t>
  </si>
  <si>
    <t>Problema</t>
  </si>
  <si>
    <t>Gravidade</t>
  </si>
  <si>
    <t>Produção</t>
  </si>
  <si>
    <t>Defeitos</t>
  </si>
  <si>
    <t>Pós-venda</t>
  </si>
  <si>
    <t>Semestre</t>
  </si>
  <si>
    <t>Trimestre</t>
  </si>
  <si>
    <t>Mês</t>
  </si>
  <si>
    <t>Nº Mês</t>
  </si>
  <si>
    <t>SUV C</t>
  </si>
  <si>
    <t>Montagem</t>
  </si>
  <si>
    <t>Torque fora da especificação</t>
  </si>
  <si>
    <t>Alta</t>
  </si>
  <si>
    <t>Elétrica</t>
  </si>
  <si>
    <t>Falha no sensor ABS</t>
  </si>
  <si>
    <t>Sedan B</t>
  </si>
  <si>
    <t>Pintura</t>
  </si>
  <si>
    <t>Falha na pintura</t>
  </si>
  <si>
    <t>Média</t>
  </si>
  <si>
    <t>Hatch A</t>
  </si>
  <si>
    <t>Acabamento</t>
  </si>
  <si>
    <t>Ruído interno</t>
  </si>
  <si>
    <t>Pickup D</t>
  </si>
  <si>
    <t>Powertrain</t>
  </si>
  <si>
    <t>Vazamento de óleo</t>
  </si>
  <si>
    <t>Parafuso ausente</t>
  </si>
  <si>
    <t>Elétrico EV</t>
  </si>
  <si>
    <t>Eletrônica</t>
  </si>
  <si>
    <t>Falha na central multimídia</t>
  </si>
  <si>
    <t>Baixa</t>
  </si>
  <si>
    <t>Segurança</t>
  </si>
  <si>
    <t>Airbag com falha de comunicação</t>
  </si>
  <si>
    <t>Crítica</t>
  </si>
  <si>
    <t>Carroceria</t>
  </si>
  <si>
    <t>Desalinhamento das portas</t>
  </si>
  <si>
    <t>Vazamento de líquido de arrefecimento</t>
  </si>
  <si>
    <t>13/01/2025</t>
  </si>
  <si>
    <t>Risco na carroceria</t>
  </si>
  <si>
    <t>14/01/2025</t>
  </si>
  <si>
    <t>Chassi</t>
  </si>
  <si>
    <t>Ruído na suspensão</t>
  </si>
  <si>
    <t>15/01/2025</t>
  </si>
  <si>
    <t>Falha na vedação</t>
  </si>
  <si>
    <t>17/01/2025</t>
  </si>
  <si>
    <t>20/01/2025</t>
  </si>
  <si>
    <t>22/01/2025</t>
  </si>
  <si>
    <t>Falha no chicote elétrico</t>
  </si>
  <si>
    <t>24/01/2025</t>
  </si>
  <si>
    <t>27/01/2025</t>
  </si>
  <si>
    <t>29/01/2025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</si>
  <si>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</si>
  <si>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</si>
  <si>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</si>
  <si>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</si>
  <si>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</si>
  <si>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</si>
  <si>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</si>
  <si>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</si>
  <si>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</si>
  <si>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14/02/2025</t>
  </si>
  <si>
    <t>17/02/2025</t>
  </si>
  <si>
    <t>19/02/2025</t>
  </si>
  <si>
    <t>20/02/2025</t>
  </si>
  <si>
    <t>21/02/2025</t>
  </si>
  <si>
    <t>24/02/2025</t>
  </si>
  <si>
    <t>26/02/2025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</si>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</sst>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5B9A0-EBFB-4511-9048-ABF9CB671606}" name="Tb.qualidade" displayName="Tb.qualidade" ref="C1:O241" totalsRowShown="0" headerRowDxfId="14" dataDxfId="13">
  <autoFilter ref="C1:O241" xr:uid="{CC35B9A0-EBFB-4511-9048-ABF9CB671606}"/>
  <tableColumns count="13">
    <tableColumn id="1" xr3:uid="{D16ACFAE-DD1B-40A4-A783-FD1A922E2B15}" name="ID" dataDxfId="12"/>
    <tableColumn id="2" xr3:uid="{1BD5C74E-2EEC-4037-A324-72C7E0EDFF2F}" name="Data" dataDxfId="11"/>
    <tableColumn id="3" xr3:uid="{27DBE54D-64FF-4521-AFEC-80F501DF54D3}" name="Modelo" dataDxfId="10"/>
    <tableColumn id="4" xr3:uid="{B3E26633-A886-46ED-A780-A56ACF29F3D0}" name="Área" dataDxfId="9"/>
    <tableColumn id="5" xr3:uid="{70079118-8848-44B0-A89E-04D63AE4C5F7}" name="Problema" dataDxfId="8"/>
    <tableColumn id="6" xr3:uid="{D792B38B-4B7C-44F5-852B-F3D7CB466820}" name="Gravidade" dataDxfId="7"/>
    <tableColumn id="7" xr3:uid="{0C470A09-A658-46B4-BD60-BC846BF5E414}" name="Produção" dataDxfId="6"/>
    <tableColumn id="8" xr3:uid="{37C4D565-0C0A-4A0C-AF30-CB0344ECCED7}" name="Defeitos" dataDxfId="5"/>
    <tableColumn id="9" xr3:uid="{00ACAEB0-6124-4918-99AD-9BC98F111CE9}" name="Pós-venda" dataDxfId="4"/>
    <tableColumn id="10" xr3:uid="{720CE1E7-B070-4095-AC37-5EC9B1CA6155}" name="Semestre" dataDxfId="3">
      <calculatedColumnFormula>IF(MONTH(N2 &amp; " 1")&lt;=6, "1º Semestre", "2º Semestre")</calculatedColumnFormula>
    </tableColumn>
    <tableColumn id="11" xr3:uid="{FB8DA6E9-E220-4BB6-87EE-A5E6AD88E815}" name="Trimestre" dataDxfId="2">
      <calculatedColumnFormula>"T"&amp;ROUNDUP(VALUE(O2)/3,0)</calculatedColumnFormula>
    </tableColumn>
    <tableColumn id="12" xr3:uid="{CBAA2602-BC96-4938-A513-AC28FB1140E0}" name="Mês" dataDxfId="1">
      <calculatedColumnFormula>TEXT(D2,"MMM")</calculatedColumnFormula>
    </tableColumn>
    <tableColumn id="13" xr3:uid="{2ED2F29C-CD4E-4763-8A19-4BF90E856B04}" name="Nº Mê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BF38-C891-4224-95C5-8DE6F3A30FB8}">
  <dimension ref="C1:O241"/>
  <sheetViews>
    <sheetView tabSelected="1" topLeftCell="A225" workbookViewId="0">
      <selection activeCell="D2" sqref="D2"/>
    </sheetView>
  </sheetViews>
  <sheetFormatPr defaultRowHeight="14.4" x14ac:dyDescent="0.3"/>
  <cols>
    <col min="4" max="4" width="10.33203125" bestFit="1" customWidth="1"/>
  </cols>
  <sheetData>
    <row r="1" spans="3:15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3:15" ht="28.8" x14ac:dyDescent="0.3">
      <c r="C2">
        <v>1</v>
      </c>
      <c r="D2" s="2">
        <v>45660</v>
      </c>
      <c r="E2" t="s">
        <v>13</v>
      </c>
      <c r="F2" t="s">
        <v>14</v>
      </c>
      <c r="G2" t="s">
        <v>15</v>
      </c>
      <c r="H2" t="s">
        <v>16</v>
      </c>
      <c r="I2">
        <v>100</v>
      </c>
      <c r="J2">
        <v>7</v>
      </c>
      <c r="K2">
        <v>4</v>
      </c>
      <c r="L2" s="3" t="str">
        <f>IF(MONTH(N2 &amp; " 1")&lt;=6, "1º Semestre", "2º Semestre")</f>
        <v>1º Semestre</v>
      </c>
      <c r="M2" s="3" t="str">
        <f>"T"&amp;ROUNDUP(VALUE(O2)/3,0)</f>
        <v>T1</v>
      </c>
      <c r="N2" s="3" t="str">
        <f t="shared" ref="N2:N65" si="0">TEXT(D2,"MMM")</f>
        <v>jan</v>
      </c>
      <c r="O2" s="3">
        <v>1</v>
      </c>
    </row>
    <row r="3" spans="3:15" ht="28.8" x14ac:dyDescent="0.3">
      <c r="C3">
        <v>2</v>
      </c>
      <c r="D3" s="2">
        <v>45660</v>
      </c>
      <c r="E3" t="s">
        <v>13</v>
      </c>
      <c r="F3" t="s">
        <v>17</v>
      </c>
      <c r="G3" t="s">
        <v>18</v>
      </c>
      <c r="H3" t="s">
        <v>16</v>
      </c>
      <c r="I3">
        <v>120</v>
      </c>
      <c r="J3">
        <v>3</v>
      </c>
      <c r="K3">
        <v>2</v>
      </c>
      <c r="L3" s="3" t="str">
        <f t="shared" ref="L3:L66" si="1">IF(MONTH(N3 &amp; " 1")&lt;=6, "1º Semestre", "2º Semestre")</f>
        <v>1º Semestre</v>
      </c>
      <c r="M3" s="3" t="str">
        <f t="shared" ref="M3:M66" si="2">"T"&amp;ROUNDUP(VALUE(O3)/3,0)</f>
        <v>T1</v>
      </c>
      <c r="N3" s="3" t="str">
        <f t="shared" si="0"/>
        <v>jan</v>
      </c>
      <c r="O3" s="3">
        <v>1</v>
      </c>
    </row>
    <row r="4" spans="3:15" ht="28.8" x14ac:dyDescent="0.3">
      <c r="C4">
        <v>3</v>
      </c>
      <c r="D4" s="2">
        <v>45662</v>
      </c>
      <c r="E4" t="s">
        <v>19</v>
      </c>
      <c r="F4" t="s">
        <v>20</v>
      </c>
      <c r="G4" t="s">
        <v>21</v>
      </c>
      <c r="H4" t="s">
        <v>22</v>
      </c>
      <c r="I4">
        <v>90</v>
      </c>
      <c r="J4">
        <v>9</v>
      </c>
      <c r="K4">
        <v>1</v>
      </c>
      <c r="L4" s="3" t="str">
        <f t="shared" si="1"/>
        <v>1º Semestre</v>
      </c>
      <c r="M4" s="3" t="str">
        <f t="shared" si="2"/>
        <v>T1</v>
      </c>
      <c r="N4" s="3" t="str">
        <f t="shared" si="0"/>
        <v>jan</v>
      </c>
      <c r="O4" s="3">
        <v>1</v>
      </c>
    </row>
    <row r="5" spans="3:15" ht="28.8" x14ac:dyDescent="0.3">
      <c r="C5">
        <v>4</v>
      </c>
      <c r="D5" s="2">
        <v>45663</v>
      </c>
      <c r="E5" t="s">
        <v>23</v>
      </c>
      <c r="F5" t="s">
        <v>24</v>
      </c>
      <c r="G5" t="s">
        <v>25</v>
      </c>
      <c r="H5" t="s">
        <v>22</v>
      </c>
      <c r="I5">
        <v>50</v>
      </c>
      <c r="J5">
        <v>6</v>
      </c>
      <c r="K5">
        <v>5</v>
      </c>
      <c r="L5" s="3" t="str">
        <f t="shared" si="1"/>
        <v>1º Semestre</v>
      </c>
      <c r="M5" s="3" t="str">
        <f t="shared" si="2"/>
        <v>T1</v>
      </c>
      <c r="N5" s="3" t="str">
        <f t="shared" si="0"/>
        <v>jan</v>
      </c>
      <c r="O5" s="3">
        <v>1</v>
      </c>
    </row>
    <row r="6" spans="3:15" ht="28.8" x14ac:dyDescent="0.3">
      <c r="C6">
        <v>5</v>
      </c>
      <c r="D6" s="2">
        <v>45664</v>
      </c>
      <c r="E6" t="s">
        <v>26</v>
      </c>
      <c r="F6" t="s">
        <v>27</v>
      </c>
      <c r="G6" t="s">
        <v>28</v>
      </c>
      <c r="H6" t="s">
        <v>16</v>
      </c>
      <c r="I6">
        <v>30</v>
      </c>
      <c r="J6">
        <v>2</v>
      </c>
      <c r="K6">
        <v>2</v>
      </c>
      <c r="L6" s="3" t="str">
        <f t="shared" si="1"/>
        <v>1º Semestre</v>
      </c>
      <c r="M6" s="3" t="str">
        <f t="shared" si="2"/>
        <v>T1</v>
      </c>
      <c r="N6" s="3" t="str">
        <f t="shared" si="0"/>
        <v>jan</v>
      </c>
      <c r="O6" s="3">
        <v>1</v>
      </c>
    </row>
    <row r="7" spans="3:15" ht="28.8" x14ac:dyDescent="0.3">
      <c r="C7">
        <v>6</v>
      </c>
      <c r="D7" s="2">
        <v>45665</v>
      </c>
      <c r="E7" t="s">
        <v>13</v>
      </c>
      <c r="F7" t="s">
        <v>14</v>
      </c>
      <c r="G7" t="s">
        <v>29</v>
      </c>
      <c r="H7" t="s">
        <v>16</v>
      </c>
      <c r="I7">
        <v>120</v>
      </c>
      <c r="J7">
        <v>4</v>
      </c>
      <c r="K7">
        <v>3</v>
      </c>
      <c r="L7" s="3" t="str">
        <f t="shared" si="1"/>
        <v>1º Semestre</v>
      </c>
      <c r="M7" s="3" t="str">
        <f t="shared" si="2"/>
        <v>T1</v>
      </c>
      <c r="N7" s="3" t="str">
        <f t="shared" si="0"/>
        <v>jan</v>
      </c>
      <c r="O7" s="3">
        <v>1</v>
      </c>
    </row>
    <row r="8" spans="3:15" ht="28.8" x14ac:dyDescent="0.3">
      <c r="C8">
        <v>7</v>
      </c>
      <c r="D8" s="2">
        <v>45666</v>
      </c>
      <c r="E8" t="s">
        <v>30</v>
      </c>
      <c r="F8" t="s">
        <v>31</v>
      </c>
      <c r="G8" t="s">
        <v>32</v>
      </c>
      <c r="H8" t="s">
        <v>33</v>
      </c>
      <c r="I8">
        <v>30</v>
      </c>
      <c r="J8">
        <v>5</v>
      </c>
      <c r="K8">
        <v>2</v>
      </c>
      <c r="L8" s="3" t="str">
        <f t="shared" si="1"/>
        <v>1º Semestre</v>
      </c>
      <c r="M8" s="3" t="str">
        <f t="shared" si="2"/>
        <v>T1</v>
      </c>
      <c r="N8" s="3" t="str">
        <f t="shared" si="0"/>
        <v>jan</v>
      </c>
      <c r="O8" s="3">
        <v>1</v>
      </c>
    </row>
    <row r="9" spans="3:15" ht="28.8" x14ac:dyDescent="0.3">
      <c r="C9">
        <v>8</v>
      </c>
      <c r="D9" s="2">
        <v>45667</v>
      </c>
      <c r="E9" t="s">
        <v>19</v>
      </c>
      <c r="F9" t="s">
        <v>34</v>
      </c>
      <c r="G9" t="s">
        <v>35</v>
      </c>
      <c r="H9" t="s">
        <v>36</v>
      </c>
      <c r="I9">
        <v>90</v>
      </c>
      <c r="J9">
        <v>1</v>
      </c>
      <c r="K9">
        <v>1</v>
      </c>
      <c r="L9" s="3" t="str">
        <f t="shared" si="1"/>
        <v>1º Semestre</v>
      </c>
      <c r="M9" s="3" t="str">
        <f t="shared" si="2"/>
        <v>T1</v>
      </c>
      <c r="N9" s="3" t="str">
        <f t="shared" si="0"/>
        <v>jan</v>
      </c>
      <c r="O9" s="3">
        <v>1</v>
      </c>
    </row>
    <row r="10" spans="3:15" ht="28.8" x14ac:dyDescent="0.3">
      <c r="C10">
        <v>9</v>
      </c>
      <c r="D10" s="2">
        <v>45667</v>
      </c>
      <c r="E10" t="s">
        <v>13</v>
      </c>
      <c r="F10" t="s">
        <v>37</v>
      </c>
      <c r="G10" t="s">
        <v>38</v>
      </c>
      <c r="H10" t="s">
        <v>22</v>
      </c>
      <c r="I10">
        <v>120</v>
      </c>
      <c r="J10">
        <v>5</v>
      </c>
      <c r="K10">
        <v>4</v>
      </c>
      <c r="L10" s="3" t="str">
        <f t="shared" si="1"/>
        <v>1º Semestre</v>
      </c>
      <c r="M10" s="3" t="str">
        <f t="shared" si="2"/>
        <v>T1</v>
      </c>
      <c r="N10" s="3" t="str">
        <f t="shared" si="0"/>
        <v>jan</v>
      </c>
      <c r="O10" s="3">
        <v>1</v>
      </c>
    </row>
    <row r="11" spans="3:15" ht="28.8" x14ac:dyDescent="0.3">
      <c r="C11">
        <v>10</v>
      </c>
      <c r="D11" s="2">
        <v>45668</v>
      </c>
      <c r="E11" t="s">
        <v>26</v>
      </c>
      <c r="F11" t="s">
        <v>27</v>
      </c>
      <c r="G11" t="s">
        <v>39</v>
      </c>
      <c r="H11" t="s">
        <v>16</v>
      </c>
      <c r="I11">
        <v>30</v>
      </c>
      <c r="J11">
        <v>3</v>
      </c>
      <c r="K11">
        <v>2</v>
      </c>
      <c r="L11" s="3" t="str">
        <f t="shared" si="1"/>
        <v>1º Semestre</v>
      </c>
      <c r="M11" s="3" t="str">
        <f t="shared" si="2"/>
        <v>T1</v>
      </c>
      <c r="N11" s="3" t="str">
        <f t="shared" si="0"/>
        <v>jan</v>
      </c>
      <c r="O11" s="3">
        <v>1</v>
      </c>
    </row>
    <row r="12" spans="3:15" ht="28.8" x14ac:dyDescent="0.3">
      <c r="C12">
        <v>11</v>
      </c>
      <c r="D12" t="s">
        <v>40</v>
      </c>
      <c r="E12" t="s">
        <v>23</v>
      </c>
      <c r="F12" t="s">
        <v>20</v>
      </c>
      <c r="G12" t="s">
        <v>41</v>
      </c>
      <c r="H12" t="s">
        <v>33</v>
      </c>
      <c r="I12">
        <v>50</v>
      </c>
      <c r="J12">
        <v>12</v>
      </c>
      <c r="K12">
        <v>1</v>
      </c>
      <c r="L12" s="3" t="str">
        <f t="shared" si="1"/>
        <v>1º Semestre</v>
      </c>
      <c r="M12" s="3" t="str">
        <f t="shared" si="2"/>
        <v>T1</v>
      </c>
      <c r="N12" s="3" t="str">
        <f t="shared" si="0"/>
        <v>jan</v>
      </c>
      <c r="O12" s="3">
        <v>1</v>
      </c>
    </row>
    <row r="13" spans="3:15" ht="28.8" x14ac:dyDescent="0.3">
      <c r="C13">
        <v>12</v>
      </c>
      <c r="D13" t="s">
        <v>42</v>
      </c>
      <c r="E13" t="s">
        <v>13</v>
      </c>
      <c r="F13" t="s">
        <v>43</v>
      </c>
      <c r="G13" t="s">
        <v>44</v>
      </c>
      <c r="H13" t="s">
        <v>22</v>
      </c>
      <c r="I13">
        <v>120</v>
      </c>
      <c r="J13">
        <v>7</v>
      </c>
      <c r="K13">
        <v>5</v>
      </c>
      <c r="L13" s="3" t="str">
        <f t="shared" si="1"/>
        <v>1º Semestre</v>
      </c>
      <c r="M13" s="3" t="str">
        <f t="shared" si="2"/>
        <v>T1</v>
      </c>
      <c r="N13" s="3" t="str">
        <f t="shared" si="0"/>
        <v>jan</v>
      </c>
      <c r="O13" s="3">
        <v>1</v>
      </c>
    </row>
    <row r="14" spans="3:15" ht="28.8" x14ac:dyDescent="0.3">
      <c r="C14">
        <v>13</v>
      </c>
      <c r="D14" t="s">
        <v>45</v>
      </c>
      <c r="E14" t="s">
        <v>19</v>
      </c>
      <c r="F14" t="s">
        <v>24</v>
      </c>
      <c r="G14" t="s">
        <v>46</v>
      </c>
      <c r="H14" t="s">
        <v>22</v>
      </c>
      <c r="I14">
        <v>90</v>
      </c>
      <c r="J14">
        <v>6</v>
      </c>
      <c r="K14">
        <v>4</v>
      </c>
      <c r="L14" s="3" t="str">
        <f t="shared" si="1"/>
        <v>1º Semestre</v>
      </c>
      <c r="M14" s="3" t="str">
        <f t="shared" si="2"/>
        <v>T1</v>
      </c>
      <c r="N14" s="3" t="str">
        <f t="shared" si="0"/>
        <v>jan</v>
      </c>
      <c r="O14" s="3">
        <v>1</v>
      </c>
    </row>
    <row r="15" spans="3:15" ht="28.8" x14ac:dyDescent="0.3">
      <c r="C15">
        <v>14</v>
      </c>
      <c r="D15" t="s">
        <v>47</v>
      </c>
      <c r="E15" t="s">
        <v>26</v>
      </c>
      <c r="F15" t="s">
        <v>14</v>
      </c>
      <c r="G15" t="s">
        <v>15</v>
      </c>
      <c r="H15" t="s">
        <v>16</v>
      </c>
      <c r="I15">
        <v>30</v>
      </c>
      <c r="J15">
        <v>5</v>
      </c>
      <c r="K15">
        <v>3</v>
      </c>
      <c r="L15" s="3" t="str">
        <f t="shared" si="1"/>
        <v>1º Semestre</v>
      </c>
      <c r="M15" s="3" t="str">
        <f t="shared" si="2"/>
        <v>T1</v>
      </c>
      <c r="N15" s="3" t="str">
        <f t="shared" si="0"/>
        <v>jan</v>
      </c>
      <c r="O15" s="3">
        <v>1</v>
      </c>
    </row>
    <row r="16" spans="3:15" ht="28.8" x14ac:dyDescent="0.3">
      <c r="C16">
        <v>15</v>
      </c>
      <c r="D16" t="s">
        <v>48</v>
      </c>
      <c r="E16" t="s">
        <v>30</v>
      </c>
      <c r="F16" t="s">
        <v>31</v>
      </c>
      <c r="G16" t="s">
        <v>32</v>
      </c>
      <c r="H16" t="s">
        <v>33</v>
      </c>
      <c r="I16">
        <v>30</v>
      </c>
      <c r="J16">
        <v>8</v>
      </c>
      <c r="K16">
        <v>3</v>
      </c>
      <c r="L16" s="3" t="str">
        <f t="shared" si="1"/>
        <v>1º Semestre</v>
      </c>
      <c r="M16" s="3" t="str">
        <f t="shared" si="2"/>
        <v>T1</v>
      </c>
      <c r="N16" s="3" t="str">
        <f t="shared" si="0"/>
        <v>jan</v>
      </c>
      <c r="O16" s="3">
        <v>1</v>
      </c>
    </row>
    <row r="17" spans="3:15" ht="28.8" x14ac:dyDescent="0.3">
      <c r="C17">
        <v>16</v>
      </c>
      <c r="D17" t="s">
        <v>49</v>
      </c>
      <c r="E17" t="s">
        <v>13</v>
      </c>
      <c r="F17" t="s">
        <v>17</v>
      </c>
      <c r="G17" t="s">
        <v>50</v>
      </c>
      <c r="H17" t="s">
        <v>16</v>
      </c>
      <c r="I17">
        <v>120</v>
      </c>
      <c r="J17">
        <v>4</v>
      </c>
      <c r="K17">
        <v>3</v>
      </c>
      <c r="L17" s="3" t="str">
        <f t="shared" si="1"/>
        <v>1º Semestre</v>
      </c>
      <c r="M17" s="3" t="str">
        <f t="shared" si="2"/>
        <v>T1</v>
      </c>
      <c r="N17" s="3" t="str">
        <f t="shared" si="0"/>
        <v>jan</v>
      </c>
      <c r="O17" s="3">
        <v>1</v>
      </c>
    </row>
    <row r="18" spans="3:15" ht="28.8" x14ac:dyDescent="0.3">
      <c r="C18">
        <v>17</v>
      </c>
      <c r="D18" t="s">
        <v>51</v>
      </c>
      <c r="E18" t="s">
        <v>19</v>
      </c>
      <c r="F18" t="s">
        <v>20</v>
      </c>
      <c r="G18" t="s">
        <v>21</v>
      </c>
      <c r="H18" t="s">
        <v>22</v>
      </c>
      <c r="I18">
        <v>90</v>
      </c>
      <c r="J18">
        <v>10</v>
      </c>
      <c r="K18">
        <v>2</v>
      </c>
      <c r="L18" s="3" t="str">
        <f t="shared" si="1"/>
        <v>1º Semestre</v>
      </c>
      <c r="M18" s="3" t="str">
        <f t="shared" si="2"/>
        <v>T1</v>
      </c>
      <c r="N18" s="3" t="str">
        <f t="shared" si="0"/>
        <v>jan</v>
      </c>
      <c r="O18" s="3">
        <v>1</v>
      </c>
    </row>
    <row r="19" spans="3:15" ht="28.8" x14ac:dyDescent="0.3">
      <c r="C19">
        <v>18</v>
      </c>
      <c r="D19" t="s">
        <v>52</v>
      </c>
      <c r="E19" t="s">
        <v>23</v>
      </c>
      <c r="F19" t="s">
        <v>24</v>
      </c>
      <c r="G19" t="s">
        <v>25</v>
      </c>
      <c r="H19" t="s">
        <v>22</v>
      </c>
      <c r="I19">
        <v>50</v>
      </c>
      <c r="J19">
        <v>8</v>
      </c>
      <c r="K19">
        <v>6</v>
      </c>
      <c r="L19" s="3" t="str">
        <f t="shared" si="1"/>
        <v>1º Semestre</v>
      </c>
      <c r="M19" s="3" t="str">
        <f t="shared" si="2"/>
        <v>T1</v>
      </c>
      <c r="N19" s="3" t="str">
        <f t="shared" si="0"/>
        <v>jan</v>
      </c>
      <c r="O19" s="3">
        <v>1</v>
      </c>
    </row>
    <row r="20" spans="3:15" ht="28.8" x14ac:dyDescent="0.3">
      <c r="C20">
        <v>19</v>
      </c>
      <c r="D20" t="s">
        <v>53</v>
      </c>
      <c r="E20" t="s">
        <v>13</v>
      </c>
      <c r="F20" t="s">
        <v>14</v>
      </c>
      <c r="G20" t="s">
        <v>29</v>
      </c>
      <c r="H20" t="s">
        <v>16</v>
      </c>
      <c r="I20">
        <v>120</v>
      </c>
      <c r="J20">
        <v>3</v>
      </c>
      <c r="K20">
        <v>2</v>
      </c>
      <c r="L20" s="3" t="str">
        <f t="shared" si="1"/>
        <v>1º Semestre</v>
      </c>
      <c r="M20" s="3" t="str">
        <f t="shared" si="2"/>
        <v>T1</v>
      </c>
      <c r="N20" s="3" t="str">
        <f t="shared" si="0"/>
        <v>jan</v>
      </c>
      <c r="O20" s="3">
        <v>1</v>
      </c>
    </row>
    <row r="21" spans="3:15" ht="28.8" x14ac:dyDescent="0.3">
      <c r="C21">
        <v>20</v>
      </c>
      <c r="D21" t="s">
        <v>54</v>
      </c>
      <c r="E21" t="s">
        <v>26</v>
      </c>
      <c r="F21" t="s">
        <v>27</v>
      </c>
      <c r="G21" t="s">
        <v>28</v>
      </c>
      <c r="H21" t="s">
        <v>16</v>
      </c>
      <c r="I21">
        <v>30</v>
      </c>
      <c r="J21">
        <v>2</v>
      </c>
      <c r="K21">
        <v>2</v>
      </c>
      <c r="L21" s="3" t="str">
        <f t="shared" si="1"/>
        <v>1º Semestre</v>
      </c>
      <c r="M21" s="3" t="str">
        <f t="shared" si="2"/>
        <v>T1</v>
      </c>
      <c r="N21" s="3" t="str">
        <f t="shared" si="0"/>
        <v>jan</v>
      </c>
      <c r="O21" s="3">
        <v>1</v>
      </c>
    </row>
    <row r="22" spans="3:15" ht="28.8" x14ac:dyDescent="0.3">
      <c r="C22">
        <v>21</v>
      </c>
      <c r="D22" t="s">
        <v>55</v>
      </c>
      <c r="E22" t="s">
        <v>13</v>
      </c>
      <c r="F22" t="s">
        <v>14</v>
      </c>
      <c r="G22" t="s">
        <v>15</v>
      </c>
      <c r="H22" t="s">
        <v>16</v>
      </c>
      <c r="I22">
        <v>120</v>
      </c>
      <c r="J22">
        <v>6</v>
      </c>
      <c r="K22">
        <v>4</v>
      </c>
      <c r="L22" s="3" t="str">
        <f t="shared" si="1"/>
        <v>1º Semestre</v>
      </c>
      <c r="M22" s="3" t="str">
        <f t="shared" si="2"/>
        <v>T1</v>
      </c>
      <c r="N22" s="3" t="str">
        <f t="shared" si="0"/>
        <v>fev</v>
      </c>
      <c r="O22" s="3">
        <v>2</v>
      </c>
    </row>
    <row r="23" spans="3:15" ht="28.8" x14ac:dyDescent="0.3">
      <c r="C23">
        <v>22</v>
      </c>
      <c r="D23" t="s">
        <v>56</v>
      </c>
      <c r="E23" t="s">
        <v>19</v>
      </c>
      <c r="F23" t="s">
        <v>20</v>
      </c>
      <c r="G23" t="s">
        <v>21</v>
      </c>
      <c r="H23" t="s">
        <v>22</v>
      </c>
      <c r="I23">
        <v>90</v>
      </c>
      <c r="J23">
        <v>8</v>
      </c>
      <c r="K23">
        <v>1</v>
      </c>
      <c r="L23" s="3" t="str">
        <f t="shared" si="1"/>
        <v>1º Semestre</v>
      </c>
      <c r="M23" s="3" t="str">
        <f t="shared" si="2"/>
        <v>T1</v>
      </c>
      <c r="N23" s="3" t="str">
        <f t="shared" si="0"/>
        <v>fev</v>
      </c>
      <c r="O23" s="3">
        <v>2</v>
      </c>
    </row>
    <row r="24" spans="3:15" ht="28.8" x14ac:dyDescent="0.3">
      <c r="C24">
        <v>23</v>
      </c>
      <c r="D24" t="s">
        <v>57</v>
      </c>
      <c r="E24" t="s">
        <v>23</v>
      </c>
      <c r="F24" t="s">
        <v>24</v>
      </c>
      <c r="G24" t="s">
        <v>25</v>
      </c>
      <c r="H24" t="s">
        <v>22</v>
      </c>
      <c r="I24">
        <v>42</v>
      </c>
      <c r="J24">
        <v>7</v>
      </c>
      <c r="K24">
        <v>5</v>
      </c>
      <c r="L24" s="3" t="str">
        <f t="shared" si="1"/>
        <v>1º Semestre</v>
      </c>
      <c r="M24" s="3" t="str">
        <f t="shared" si="2"/>
        <v>T1</v>
      </c>
      <c r="N24" s="3" t="str">
        <f t="shared" si="0"/>
        <v>fev</v>
      </c>
      <c r="O24" s="3">
        <v>2</v>
      </c>
    </row>
    <row r="25" spans="3:15" ht="28.8" x14ac:dyDescent="0.3">
      <c r="C25">
        <v>24</v>
      </c>
      <c r="D25" t="s">
        <v>58</v>
      </c>
      <c r="E25" t="s">
        <v>26</v>
      </c>
      <c r="F25" t="s">
        <v>27</v>
      </c>
      <c r="G25" t="s">
        <v>28</v>
      </c>
      <c r="H25" t="s">
        <v>16</v>
      </c>
      <c r="I25">
        <v>30</v>
      </c>
      <c r="J25">
        <v>2</v>
      </c>
      <c r="K25">
        <v>2</v>
      </c>
      <c r="L25" s="3" t="str">
        <f t="shared" si="1"/>
        <v>1º Semestre</v>
      </c>
      <c r="M25" s="3" t="str">
        <f t="shared" si="2"/>
        <v>T1</v>
      </c>
      <c r="N25" s="3" t="str">
        <f t="shared" si="0"/>
        <v>fev</v>
      </c>
      <c r="O25" s="3">
        <v>2</v>
      </c>
    </row>
    <row r="26" spans="3:15" ht="28.8" x14ac:dyDescent="0.3">
      <c r="C26">
        <v>25</v>
      </c>
      <c r="D26" t="s">
        <v>59</v>
      </c>
      <c r="E26" t="s">
        <v>13</v>
      </c>
      <c r="F26" t="s">
        <v>17</v>
      </c>
      <c r="G26" t="s">
        <v>18</v>
      </c>
      <c r="H26" t="s">
        <v>16</v>
      </c>
      <c r="I26">
        <v>120</v>
      </c>
      <c r="J26">
        <v>3</v>
      </c>
      <c r="K26">
        <v>2</v>
      </c>
      <c r="L26" s="3" t="str">
        <f t="shared" si="1"/>
        <v>1º Semestre</v>
      </c>
      <c r="M26" s="3" t="str">
        <f t="shared" si="2"/>
        <v>T1</v>
      </c>
      <c r="N26" s="3" t="str">
        <f t="shared" si="0"/>
        <v>fev</v>
      </c>
      <c r="O26" s="3">
        <v>2</v>
      </c>
    </row>
    <row r="27" spans="3:15" ht="28.8" x14ac:dyDescent="0.3">
      <c r="C27">
        <v>26</v>
      </c>
      <c r="D27" t="s">
        <v>60</v>
      </c>
      <c r="E27" t="s">
        <v>30</v>
      </c>
      <c r="F27" t="s">
        <v>31</v>
      </c>
      <c r="G27" t="s">
        <v>32</v>
      </c>
      <c r="H27" t="s">
        <v>33</v>
      </c>
      <c r="I27">
        <v>30</v>
      </c>
      <c r="J27">
        <v>6</v>
      </c>
      <c r="K27">
        <v>2</v>
      </c>
      <c r="L27" s="3" t="str">
        <f t="shared" si="1"/>
        <v>1º Semestre</v>
      </c>
      <c r="M27" s="3" t="str">
        <f t="shared" si="2"/>
        <v>T1</v>
      </c>
      <c r="N27" s="3" t="str">
        <f t="shared" si="0"/>
        <v>fev</v>
      </c>
      <c r="O27" s="3">
        <v>2</v>
      </c>
    </row>
    <row r="28" spans="3:15" ht="28.8" x14ac:dyDescent="0.3">
      <c r="C28">
        <v>27</v>
      </c>
      <c r="D28" t="s">
        <v>61</v>
      </c>
      <c r="E28" t="s">
        <v>19</v>
      </c>
      <c r="F28" t="s">
        <v>34</v>
      </c>
      <c r="G28" t="s">
        <v>35</v>
      </c>
      <c r="H28" t="s">
        <v>36</v>
      </c>
      <c r="I28">
        <v>90</v>
      </c>
      <c r="J28">
        <v>1</v>
      </c>
      <c r="K28">
        <v>1</v>
      </c>
      <c r="L28" s="3" t="str">
        <f t="shared" si="1"/>
        <v>1º Semestre</v>
      </c>
      <c r="M28" s="3" t="str">
        <f t="shared" si="2"/>
        <v>T1</v>
      </c>
      <c r="N28" s="3" t="str">
        <f t="shared" si="0"/>
        <v>fev</v>
      </c>
      <c r="O28" s="3">
        <v>2</v>
      </c>
    </row>
    <row r="29" spans="3:15" ht="28.8" x14ac:dyDescent="0.3">
      <c r="C29">
        <v>28</v>
      </c>
      <c r="D29" t="s">
        <v>62</v>
      </c>
      <c r="E29" t="s">
        <v>13</v>
      </c>
      <c r="F29" t="s">
        <v>37</v>
      </c>
      <c r="G29" t="s">
        <v>38</v>
      </c>
      <c r="H29" t="s">
        <v>22</v>
      </c>
      <c r="I29">
        <v>110</v>
      </c>
      <c r="J29">
        <v>4</v>
      </c>
      <c r="K29">
        <v>3</v>
      </c>
      <c r="L29" s="3" t="str">
        <f t="shared" si="1"/>
        <v>1º Semestre</v>
      </c>
      <c r="M29" s="3" t="str">
        <f t="shared" si="2"/>
        <v>T1</v>
      </c>
      <c r="N29" s="3" t="str">
        <f t="shared" si="0"/>
        <v>fev</v>
      </c>
      <c r="O29" s="3">
        <v>2</v>
      </c>
    </row>
    <row r="30" spans="3:15" ht="28.8" x14ac:dyDescent="0.3">
      <c r="C30">
        <v>29</v>
      </c>
      <c r="D30" t="s">
        <v>63</v>
      </c>
      <c r="E30" t="s">
        <v>26</v>
      </c>
      <c r="F30" t="s">
        <v>14</v>
      </c>
      <c r="G30" t="s">
        <v>29</v>
      </c>
      <c r="H30" t="s">
        <v>16</v>
      </c>
      <c r="I30">
        <v>30</v>
      </c>
      <c r="J30">
        <v>4</v>
      </c>
      <c r="K30">
        <v>2</v>
      </c>
      <c r="L30" s="3" t="str">
        <f t="shared" si="1"/>
        <v>1º Semestre</v>
      </c>
      <c r="M30" s="3" t="str">
        <f t="shared" si="2"/>
        <v>T1</v>
      </c>
      <c r="N30" s="3" t="str">
        <f t="shared" si="0"/>
        <v>fev</v>
      </c>
      <c r="O30" s="3">
        <v>2</v>
      </c>
    </row>
    <row r="31" spans="3:15" ht="28.8" x14ac:dyDescent="0.3">
      <c r="C31">
        <v>30</v>
      </c>
      <c r="D31" t="s">
        <v>64</v>
      </c>
      <c r="E31" t="s">
        <v>23</v>
      </c>
      <c r="F31" t="s">
        <v>20</v>
      </c>
      <c r="G31" t="s">
        <v>41</v>
      </c>
      <c r="H31" t="s">
        <v>33</v>
      </c>
      <c r="I31">
        <v>42</v>
      </c>
      <c r="J31">
        <v>10</v>
      </c>
      <c r="K31">
        <v>1</v>
      </c>
      <c r="L31" s="3" t="str">
        <f t="shared" si="1"/>
        <v>1º Semestre</v>
      </c>
      <c r="M31" s="3" t="str">
        <f t="shared" si="2"/>
        <v>T1</v>
      </c>
      <c r="N31" s="3" t="str">
        <f t="shared" si="0"/>
        <v>fev</v>
      </c>
      <c r="O31" s="3">
        <v>2</v>
      </c>
    </row>
    <row r="32" spans="3:15" ht="28.8" x14ac:dyDescent="0.3">
      <c r="C32">
        <v>31</v>
      </c>
      <c r="D32" t="s">
        <v>65</v>
      </c>
      <c r="E32" t="s">
        <v>13</v>
      </c>
      <c r="F32" t="s">
        <v>43</v>
      </c>
      <c r="G32" t="s">
        <v>44</v>
      </c>
      <c r="H32" t="s">
        <v>22</v>
      </c>
      <c r="I32">
        <v>110</v>
      </c>
      <c r="J32">
        <v>6</v>
      </c>
      <c r="K32">
        <v>4</v>
      </c>
      <c r="L32" s="3" t="str">
        <f t="shared" si="1"/>
        <v>1º Semestre</v>
      </c>
      <c r="M32" s="3" t="str">
        <f t="shared" si="2"/>
        <v>T1</v>
      </c>
      <c r="N32" s="3" t="str">
        <f t="shared" si="0"/>
        <v>fev</v>
      </c>
      <c r="O32" s="3">
        <v>2</v>
      </c>
    </row>
    <row r="33" spans="3:15" ht="28.8" x14ac:dyDescent="0.3">
      <c r="C33">
        <v>32</v>
      </c>
      <c r="D33" t="s">
        <v>66</v>
      </c>
      <c r="E33" t="s">
        <v>19</v>
      </c>
      <c r="F33" t="s">
        <v>24</v>
      </c>
      <c r="G33" t="s">
        <v>46</v>
      </c>
      <c r="H33" t="s">
        <v>22</v>
      </c>
      <c r="I33">
        <v>90</v>
      </c>
      <c r="J33">
        <v>5</v>
      </c>
      <c r="K33">
        <v>3</v>
      </c>
      <c r="L33" s="3" t="str">
        <f t="shared" si="1"/>
        <v>1º Semestre</v>
      </c>
      <c r="M33" s="3" t="str">
        <f t="shared" si="2"/>
        <v>T1</v>
      </c>
      <c r="N33" s="3" t="str">
        <f t="shared" si="0"/>
        <v>fev</v>
      </c>
      <c r="O33" s="3">
        <v>2</v>
      </c>
    </row>
    <row r="34" spans="3:15" ht="28.8" x14ac:dyDescent="0.3">
      <c r="C34">
        <v>33</v>
      </c>
      <c r="D34" t="s">
        <v>67</v>
      </c>
      <c r="E34" t="s">
        <v>30</v>
      </c>
      <c r="F34" t="s">
        <v>31</v>
      </c>
      <c r="G34" t="s">
        <v>32</v>
      </c>
      <c r="H34" t="s">
        <v>33</v>
      </c>
      <c r="I34">
        <v>30</v>
      </c>
      <c r="J34">
        <v>7</v>
      </c>
      <c r="K34">
        <v>3</v>
      </c>
      <c r="L34" s="3" t="str">
        <f t="shared" si="1"/>
        <v>1º Semestre</v>
      </c>
      <c r="M34" s="3" t="str">
        <f t="shared" si="2"/>
        <v>T1</v>
      </c>
      <c r="N34" s="3" t="str">
        <f t="shared" si="0"/>
        <v>fev</v>
      </c>
      <c r="O34" s="3">
        <v>2</v>
      </c>
    </row>
    <row r="35" spans="3:15" ht="28.8" x14ac:dyDescent="0.3">
      <c r="C35">
        <v>34</v>
      </c>
      <c r="D35" t="s">
        <v>68</v>
      </c>
      <c r="E35" t="s">
        <v>13</v>
      </c>
      <c r="F35" t="s">
        <v>17</v>
      </c>
      <c r="G35" t="s">
        <v>50</v>
      </c>
      <c r="H35" t="s">
        <v>16</v>
      </c>
      <c r="I35">
        <v>110</v>
      </c>
      <c r="J35">
        <v>3</v>
      </c>
      <c r="K35">
        <v>2</v>
      </c>
      <c r="L35" s="3" t="str">
        <f t="shared" si="1"/>
        <v>1º Semestre</v>
      </c>
      <c r="M35" s="3" t="str">
        <f t="shared" si="2"/>
        <v>T1</v>
      </c>
      <c r="N35" s="3" t="str">
        <f t="shared" si="0"/>
        <v>fev</v>
      </c>
      <c r="O35" s="3">
        <v>2</v>
      </c>
    </row>
    <row r="36" spans="3:15" ht="28.8" x14ac:dyDescent="0.3">
      <c r="C36">
        <v>35</v>
      </c>
      <c r="D36" t="s">
        <v>69</v>
      </c>
      <c r="E36" t="s">
        <v>26</v>
      </c>
      <c r="F36" t="s">
        <v>27</v>
      </c>
      <c r="G36" t="s">
        <v>39</v>
      </c>
      <c r="H36" t="s">
        <v>16</v>
      </c>
      <c r="I36">
        <v>30</v>
      </c>
      <c r="J36">
        <v>2</v>
      </c>
      <c r="K36">
        <v>2</v>
      </c>
      <c r="L36" s="3" t="str">
        <f t="shared" si="1"/>
        <v>1º Semestre</v>
      </c>
      <c r="M36" s="3" t="str">
        <f t="shared" si="2"/>
        <v>T1</v>
      </c>
      <c r="N36" s="3" t="str">
        <f t="shared" si="0"/>
        <v>fev</v>
      </c>
      <c r="O36" s="3">
        <v>2</v>
      </c>
    </row>
    <row r="37" spans="3:15" ht="28.8" x14ac:dyDescent="0.3">
      <c r="C37">
        <v>36</v>
      </c>
      <c r="D37" t="s">
        <v>70</v>
      </c>
      <c r="E37" t="s">
        <v>19</v>
      </c>
      <c r="F37" t="s">
        <v>20</v>
      </c>
      <c r="G37" t="s">
        <v>21</v>
      </c>
      <c r="H37" t="s">
        <v>22</v>
      </c>
      <c r="I37">
        <v>90</v>
      </c>
      <c r="J37">
        <v>9</v>
      </c>
      <c r="K37">
        <v>2</v>
      </c>
      <c r="L37" s="3" t="str">
        <f t="shared" si="1"/>
        <v>1º Semestre</v>
      </c>
      <c r="M37" s="3" t="str">
        <f t="shared" si="2"/>
        <v>T1</v>
      </c>
      <c r="N37" s="3" t="str">
        <f t="shared" si="0"/>
        <v>fev</v>
      </c>
      <c r="O37" s="3">
        <v>2</v>
      </c>
    </row>
    <row r="38" spans="3:15" ht="28.8" x14ac:dyDescent="0.3">
      <c r="C38">
        <v>37</v>
      </c>
      <c r="D38" t="s">
        <v>71</v>
      </c>
      <c r="E38" t="s">
        <v>13</v>
      </c>
      <c r="F38" t="s">
        <v>14</v>
      </c>
      <c r="G38" t="s">
        <v>15</v>
      </c>
      <c r="H38" t="s">
        <v>16</v>
      </c>
      <c r="I38">
        <v>110</v>
      </c>
      <c r="J38">
        <v>5</v>
      </c>
      <c r="K38">
        <v>3</v>
      </c>
      <c r="L38" s="3" t="str">
        <f t="shared" si="1"/>
        <v>1º Semestre</v>
      </c>
      <c r="M38" s="3" t="str">
        <f t="shared" si="2"/>
        <v>T1</v>
      </c>
      <c r="N38" s="3" t="str">
        <f t="shared" si="0"/>
        <v>mar</v>
      </c>
      <c r="O38" s="3">
        <v>3</v>
      </c>
    </row>
    <row r="39" spans="3:15" ht="28.8" x14ac:dyDescent="0.3">
      <c r="C39">
        <v>38</v>
      </c>
      <c r="D39" t="s">
        <v>72</v>
      </c>
      <c r="E39" t="s">
        <v>19</v>
      </c>
      <c r="F39" t="s">
        <v>20</v>
      </c>
      <c r="G39" t="s">
        <v>21</v>
      </c>
      <c r="H39" t="s">
        <v>22</v>
      </c>
      <c r="I39">
        <v>90</v>
      </c>
      <c r="J39">
        <v>7</v>
      </c>
      <c r="K39">
        <v>1</v>
      </c>
      <c r="L39" s="3" t="str">
        <f t="shared" si="1"/>
        <v>1º Semestre</v>
      </c>
      <c r="M39" s="3" t="str">
        <f t="shared" si="2"/>
        <v>T1</v>
      </c>
      <c r="N39" s="3" t="str">
        <f t="shared" si="0"/>
        <v>mar</v>
      </c>
      <c r="O39" s="3">
        <v>3</v>
      </c>
    </row>
    <row r="40" spans="3:15" ht="28.8" x14ac:dyDescent="0.3">
      <c r="C40">
        <v>39</v>
      </c>
      <c r="D40" t="s">
        <v>73</v>
      </c>
      <c r="E40" t="s">
        <v>23</v>
      </c>
      <c r="F40" t="s">
        <v>24</v>
      </c>
      <c r="G40" t="s">
        <v>25</v>
      </c>
      <c r="H40" t="s">
        <v>22</v>
      </c>
      <c r="I40">
        <v>42</v>
      </c>
      <c r="J40">
        <v>6</v>
      </c>
      <c r="K40">
        <v>4</v>
      </c>
      <c r="L40" s="3" t="str">
        <f t="shared" si="1"/>
        <v>1º Semestre</v>
      </c>
      <c r="M40" s="3" t="str">
        <f t="shared" si="2"/>
        <v>T1</v>
      </c>
      <c r="N40" s="3" t="str">
        <f t="shared" si="0"/>
        <v>mar</v>
      </c>
      <c r="O40" s="3">
        <v>3</v>
      </c>
    </row>
    <row r="41" spans="3:15" ht="28.8" x14ac:dyDescent="0.3">
      <c r="C41">
        <v>40</v>
      </c>
      <c r="D41" t="s">
        <v>74</v>
      </c>
      <c r="E41" t="s">
        <v>26</v>
      </c>
      <c r="F41" t="s">
        <v>27</v>
      </c>
      <c r="G41" t="s">
        <v>28</v>
      </c>
      <c r="H41" t="s">
        <v>16</v>
      </c>
      <c r="I41">
        <v>30</v>
      </c>
      <c r="J41">
        <v>2</v>
      </c>
      <c r="K41">
        <v>2</v>
      </c>
      <c r="L41" s="3" t="str">
        <f t="shared" si="1"/>
        <v>1º Semestre</v>
      </c>
      <c r="M41" s="3" t="str">
        <f t="shared" si="2"/>
        <v>T1</v>
      </c>
      <c r="N41" s="3" t="str">
        <f t="shared" si="0"/>
        <v>mar</v>
      </c>
      <c r="O41" s="3">
        <v>3</v>
      </c>
    </row>
    <row r="42" spans="3:15" ht="28.8" x14ac:dyDescent="0.3">
      <c r="C42">
        <v>41</v>
      </c>
      <c r="D42" t="s">
        <v>75</v>
      </c>
      <c r="E42" t="s">
        <v>13</v>
      </c>
      <c r="F42" t="s">
        <v>17</v>
      </c>
      <c r="G42" t="s">
        <v>18</v>
      </c>
      <c r="H42" t="s">
        <v>16</v>
      </c>
      <c r="I42">
        <v>115</v>
      </c>
      <c r="J42">
        <v>2</v>
      </c>
      <c r="K42">
        <v>1</v>
      </c>
      <c r="L42" s="3" t="str">
        <f t="shared" si="1"/>
        <v>1º Semestre</v>
      </c>
      <c r="M42" s="3" t="str">
        <f t="shared" si="2"/>
        <v>T1</v>
      </c>
      <c r="N42" s="3" t="str">
        <f t="shared" si="0"/>
        <v>mar</v>
      </c>
      <c r="O42" s="3">
        <v>3</v>
      </c>
    </row>
    <row r="43" spans="3:15" ht="28.8" x14ac:dyDescent="0.3">
      <c r="C43">
        <v>42</v>
      </c>
      <c r="D43" t="s">
        <v>76</v>
      </c>
      <c r="E43" t="s">
        <v>30</v>
      </c>
      <c r="F43" t="s">
        <v>31</v>
      </c>
      <c r="G43" t="s">
        <v>32</v>
      </c>
      <c r="H43" t="s">
        <v>33</v>
      </c>
      <c r="I43">
        <v>30</v>
      </c>
      <c r="J43">
        <v>5</v>
      </c>
      <c r="K43">
        <v>1</v>
      </c>
      <c r="L43" s="3" t="str">
        <f t="shared" si="1"/>
        <v>1º Semestre</v>
      </c>
      <c r="M43" s="3" t="str">
        <f t="shared" si="2"/>
        <v>T1</v>
      </c>
      <c r="N43" s="3" t="str">
        <f t="shared" si="0"/>
        <v>mar</v>
      </c>
      <c r="O43" s="3">
        <v>3</v>
      </c>
    </row>
    <row r="44" spans="3:15" ht="28.8" x14ac:dyDescent="0.3">
      <c r="C44">
        <v>43</v>
      </c>
      <c r="D44" t="s">
        <v>77</v>
      </c>
      <c r="E44" t="s">
        <v>13</v>
      </c>
      <c r="F44" t="s">
        <v>37</v>
      </c>
      <c r="G44" t="s">
        <v>38</v>
      </c>
      <c r="H44" t="s">
        <v>22</v>
      </c>
      <c r="I44">
        <v>115</v>
      </c>
      <c r="J44">
        <v>4</v>
      </c>
      <c r="K44">
        <v>3</v>
      </c>
      <c r="L44" s="3" t="str">
        <f t="shared" si="1"/>
        <v>1º Semestre</v>
      </c>
      <c r="M44" s="3" t="str">
        <f t="shared" si="2"/>
        <v>T1</v>
      </c>
      <c r="N44" s="3" t="str">
        <f t="shared" si="0"/>
        <v>mar</v>
      </c>
      <c r="O44" s="3">
        <v>3</v>
      </c>
    </row>
    <row r="45" spans="3:15" ht="28.8" x14ac:dyDescent="0.3">
      <c r="C45">
        <v>44</v>
      </c>
      <c r="D45" t="s">
        <v>78</v>
      </c>
      <c r="E45" t="s">
        <v>26</v>
      </c>
      <c r="F45" t="s">
        <v>14</v>
      </c>
      <c r="G45" t="s">
        <v>29</v>
      </c>
      <c r="H45" t="s">
        <v>16</v>
      </c>
      <c r="I45">
        <v>30</v>
      </c>
      <c r="J45">
        <v>3</v>
      </c>
      <c r="K45">
        <v>2</v>
      </c>
      <c r="L45" s="3" t="str">
        <f t="shared" si="1"/>
        <v>1º Semestre</v>
      </c>
      <c r="M45" s="3" t="str">
        <f t="shared" si="2"/>
        <v>T1</v>
      </c>
      <c r="N45" s="3" t="str">
        <f t="shared" si="0"/>
        <v>mar</v>
      </c>
      <c r="O45" s="3">
        <v>3</v>
      </c>
    </row>
    <row r="46" spans="3:15" ht="28.8" x14ac:dyDescent="0.3">
      <c r="C46">
        <v>45</v>
      </c>
      <c r="D46" t="s">
        <v>79</v>
      </c>
      <c r="E46" t="s">
        <v>23</v>
      </c>
      <c r="F46" t="s">
        <v>20</v>
      </c>
      <c r="G46" t="s">
        <v>41</v>
      </c>
      <c r="H46" t="s">
        <v>33</v>
      </c>
      <c r="I46">
        <v>42</v>
      </c>
      <c r="J46">
        <v>9</v>
      </c>
      <c r="K46">
        <v>1</v>
      </c>
      <c r="L46" s="3" t="str">
        <f t="shared" si="1"/>
        <v>1º Semestre</v>
      </c>
      <c r="M46" s="3" t="str">
        <f t="shared" si="2"/>
        <v>T1</v>
      </c>
      <c r="N46" s="3" t="str">
        <f t="shared" si="0"/>
        <v>mar</v>
      </c>
      <c r="O46" s="3">
        <v>3</v>
      </c>
    </row>
    <row r="47" spans="3:15" ht="28.8" x14ac:dyDescent="0.3">
      <c r="C47">
        <v>46</v>
      </c>
      <c r="D47" t="s">
        <v>80</v>
      </c>
      <c r="E47" t="s">
        <v>13</v>
      </c>
      <c r="F47" t="s">
        <v>43</v>
      </c>
      <c r="G47" t="s">
        <v>44</v>
      </c>
      <c r="H47" t="s">
        <v>22</v>
      </c>
      <c r="I47">
        <v>115</v>
      </c>
      <c r="J47">
        <v>5</v>
      </c>
      <c r="K47">
        <v>3</v>
      </c>
      <c r="L47" s="3" t="str">
        <f t="shared" si="1"/>
        <v>1º Semestre</v>
      </c>
      <c r="M47" s="3" t="str">
        <f t="shared" si="2"/>
        <v>T1</v>
      </c>
      <c r="N47" s="3" t="str">
        <f t="shared" si="0"/>
        <v>mar</v>
      </c>
      <c r="O47" s="3">
        <v>3</v>
      </c>
    </row>
    <row r="48" spans="3:15" ht="28.8" x14ac:dyDescent="0.3">
      <c r="C48">
        <v>47</v>
      </c>
      <c r="D48" t="s">
        <v>81</v>
      </c>
      <c r="E48" t="s">
        <v>19</v>
      </c>
      <c r="F48" t="s">
        <v>24</v>
      </c>
      <c r="G48" t="s">
        <v>46</v>
      </c>
      <c r="H48" t="s">
        <v>22</v>
      </c>
      <c r="I48">
        <v>90</v>
      </c>
      <c r="J48">
        <v>5</v>
      </c>
      <c r="K48">
        <v>3</v>
      </c>
      <c r="L48" s="3" t="str">
        <f t="shared" si="1"/>
        <v>1º Semestre</v>
      </c>
      <c r="M48" s="3" t="str">
        <f t="shared" si="2"/>
        <v>T1</v>
      </c>
      <c r="N48" s="3" t="str">
        <f t="shared" si="0"/>
        <v>mar</v>
      </c>
      <c r="O48" s="3">
        <v>3</v>
      </c>
    </row>
    <row r="49" spans="3:15" ht="28.8" x14ac:dyDescent="0.3">
      <c r="C49">
        <v>48</v>
      </c>
      <c r="D49" t="s">
        <v>82</v>
      </c>
      <c r="E49" t="s">
        <v>30</v>
      </c>
      <c r="F49" t="s">
        <v>31</v>
      </c>
      <c r="G49" t="s">
        <v>32</v>
      </c>
      <c r="H49" t="s">
        <v>33</v>
      </c>
      <c r="I49">
        <v>30</v>
      </c>
      <c r="J49">
        <v>6</v>
      </c>
      <c r="K49">
        <v>2</v>
      </c>
      <c r="L49" s="3" t="str">
        <f t="shared" si="1"/>
        <v>1º Semestre</v>
      </c>
      <c r="M49" s="3" t="str">
        <f t="shared" si="2"/>
        <v>T1</v>
      </c>
      <c r="N49" s="3" t="str">
        <f t="shared" si="0"/>
        <v>mar</v>
      </c>
      <c r="O49" s="3">
        <v>3</v>
      </c>
    </row>
    <row r="50" spans="3:15" ht="28.8" x14ac:dyDescent="0.3">
      <c r="C50">
        <v>49</v>
      </c>
      <c r="D50" t="s">
        <v>83</v>
      </c>
      <c r="E50" t="s">
        <v>13</v>
      </c>
      <c r="F50" t="s">
        <v>17</v>
      </c>
      <c r="G50" t="s">
        <v>50</v>
      </c>
      <c r="H50" t="s">
        <v>16</v>
      </c>
      <c r="I50">
        <v>115</v>
      </c>
      <c r="J50">
        <v>2</v>
      </c>
      <c r="K50">
        <v>2</v>
      </c>
      <c r="L50" s="3" t="str">
        <f t="shared" si="1"/>
        <v>1º Semestre</v>
      </c>
      <c r="M50" s="3" t="str">
        <f t="shared" si="2"/>
        <v>T1</v>
      </c>
      <c r="N50" s="3" t="str">
        <f t="shared" si="0"/>
        <v>mar</v>
      </c>
      <c r="O50" s="3">
        <v>3</v>
      </c>
    </row>
    <row r="51" spans="3:15" ht="28.8" x14ac:dyDescent="0.3">
      <c r="C51">
        <v>50</v>
      </c>
      <c r="D51" t="s">
        <v>84</v>
      </c>
      <c r="E51" t="s">
        <v>26</v>
      </c>
      <c r="F51" t="s">
        <v>27</v>
      </c>
      <c r="G51" t="s">
        <v>39</v>
      </c>
      <c r="H51" t="s">
        <v>16</v>
      </c>
      <c r="I51">
        <v>30</v>
      </c>
      <c r="J51">
        <v>2</v>
      </c>
      <c r="K51">
        <v>1</v>
      </c>
      <c r="L51" s="3" t="str">
        <f t="shared" si="1"/>
        <v>1º Semestre</v>
      </c>
      <c r="M51" s="3" t="str">
        <f t="shared" si="2"/>
        <v>T1</v>
      </c>
      <c r="N51" s="3" t="str">
        <f t="shared" si="0"/>
        <v>mar</v>
      </c>
      <c r="O51" s="3">
        <v>3</v>
      </c>
    </row>
    <row r="52" spans="3:15" ht="28.8" x14ac:dyDescent="0.3">
      <c r="C52">
        <v>51</v>
      </c>
      <c r="D52" t="s">
        <v>85</v>
      </c>
      <c r="E52" t="s">
        <v>19</v>
      </c>
      <c r="F52" t="s">
        <v>20</v>
      </c>
      <c r="G52" t="s">
        <v>21</v>
      </c>
      <c r="H52" t="s">
        <v>22</v>
      </c>
      <c r="I52">
        <v>87</v>
      </c>
      <c r="J52">
        <v>7</v>
      </c>
      <c r="K52">
        <v>1</v>
      </c>
      <c r="L52" s="3" t="str">
        <f t="shared" si="1"/>
        <v>1º Semestre</v>
      </c>
      <c r="M52" s="3" t="str">
        <f t="shared" si="2"/>
        <v>T1</v>
      </c>
      <c r="N52" s="3" t="str">
        <f t="shared" si="0"/>
        <v>mar</v>
      </c>
      <c r="O52" s="3">
        <v>3</v>
      </c>
    </row>
    <row r="53" spans="3:15" ht="28.8" x14ac:dyDescent="0.3">
      <c r="C53">
        <v>52</v>
      </c>
      <c r="D53" t="s">
        <v>86</v>
      </c>
      <c r="E53" t="s">
        <v>13</v>
      </c>
      <c r="F53" t="s">
        <v>14</v>
      </c>
      <c r="G53" t="s">
        <v>15</v>
      </c>
      <c r="H53" t="s">
        <v>16</v>
      </c>
      <c r="I53">
        <v>120</v>
      </c>
      <c r="J53">
        <v>4</v>
      </c>
      <c r="K53">
        <v>2</v>
      </c>
      <c r="L53" s="3" t="str">
        <f t="shared" si="1"/>
        <v>1º Semestre</v>
      </c>
      <c r="M53" s="3" t="str">
        <f t="shared" si="2"/>
        <v>T1</v>
      </c>
      <c r="N53" s="3" t="str">
        <f t="shared" si="0"/>
        <v>mar</v>
      </c>
      <c r="O53" s="3">
        <v>3</v>
      </c>
    </row>
    <row r="54" spans="3:15" ht="28.8" x14ac:dyDescent="0.3">
      <c r="C54">
        <v>53</v>
      </c>
      <c r="D54" t="s">
        <v>87</v>
      </c>
      <c r="E54" t="s">
        <v>23</v>
      </c>
      <c r="F54" t="s">
        <v>24</v>
      </c>
      <c r="G54" t="s">
        <v>25</v>
      </c>
      <c r="H54" t="s">
        <v>22</v>
      </c>
      <c r="I54">
        <v>42</v>
      </c>
      <c r="J54">
        <v>5</v>
      </c>
      <c r="K54">
        <v>3</v>
      </c>
      <c r="L54" s="3" t="str">
        <f t="shared" si="1"/>
        <v>1º Semestre</v>
      </c>
      <c r="M54" s="3" t="str">
        <f t="shared" si="2"/>
        <v>T1</v>
      </c>
      <c r="N54" s="3" t="str">
        <f t="shared" si="0"/>
        <v>mar</v>
      </c>
      <c r="O54" s="3">
        <v>3</v>
      </c>
    </row>
    <row r="55" spans="3:15" ht="28.8" x14ac:dyDescent="0.3">
      <c r="C55">
        <v>54</v>
      </c>
      <c r="D55" t="s">
        <v>88</v>
      </c>
      <c r="E55" t="s">
        <v>13</v>
      </c>
      <c r="F55" t="s">
        <v>34</v>
      </c>
      <c r="G55" t="s">
        <v>35</v>
      </c>
      <c r="H55" t="s">
        <v>36</v>
      </c>
      <c r="I55">
        <v>120</v>
      </c>
      <c r="J55">
        <v>1</v>
      </c>
      <c r="K55">
        <v>1</v>
      </c>
      <c r="L55" s="3" t="str">
        <f t="shared" si="1"/>
        <v>1º Semestre</v>
      </c>
      <c r="M55" s="3" t="str">
        <f t="shared" si="2"/>
        <v>T1</v>
      </c>
      <c r="N55" s="3" t="str">
        <f t="shared" si="0"/>
        <v>mar</v>
      </c>
      <c r="O55" s="3">
        <v>3</v>
      </c>
    </row>
    <row r="56" spans="3:15" ht="28.8" x14ac:dyDescent="0.3">
      <c r="C56">
        <v>55</v>
      </c>
      <c r="D56" t="s">
        <v>89</v>
      </c>
      <c r="E56" t="s">
        <v>26</v>
      </c>
      <c r="F56" t="s">
        <v>14</v>
      </c>
      <c r="G56" t="s">
        <v>29</v>
      </c>
      <c r="H56" t="s">
        <v>16</v>
      </c>
      <c r="I56">
        <v>26</v>
      </c>
      <c r="J56">
        <v>3</v>
      </c>
      <c r="K56">
        <v>2</v>
      </c>
      <c r="L56" s="3" t="str">
        <f t="shared" si="1"/>
        <v>1º Semestre</v>
      </c>
      <c r="M56" s="3" t="str">
        <f t="shared" si="2"/>
        <v>T1</v>
      </c>
      <c r="N56" s="3" t="str">
        <f t="shared" si="0"/>
        <v>mar</v>
      </c>
      <c r="O56" s="3">
        <v>3</v>
      </c>
    </row>
    <row r="57" spans="3:15" ht="28.8" x14ac:dyDescent="0.3">
      <c r="C57">
        <v>56</v>
      </c>
      <c r="D57" t="s">
        <v>89</v>
      </c>
      <c r="E57" t="s">
        <v>13</v>
      </c>
      <c r="F57" t="s">
        <v>20</v>
      </c>
      <c r="G57" t="s">
        <v>21</v>
      </c>
      <c r="H57" t="s">
        <v>22</v>
      </c>
      <c r="I57">
        <v>120</v>
      </c>
      <c r="J57">
        <v>6</v>
      </c>
      <c r="K57">
        <v>1</v>
      </c>
      <c r="L57" s="3" t="str">
        <f t="shared" si="1"/>
        <v>1º Semestre</v>
      </c>
      <c r="M57" s="3" t="str">
        <f t="shared" si="2"/>
        <v>T1</v>
      </c>
      <c r="N57" s="3" t="str">
        <f t="shared" si="0"/>
        <v>mar</v>
      </c>
      <c r="O57" s="3">
        <v>3</v>
      </c>
    </row>
    <row r="58" spans="3:15" ht="28.8" x14ac:dyDescent="0.3">
      <c r="C58">
        <v>57</v>
      </c>
      <c r="D58" t="s">
        <v>90</v>
      </c>
      <c r="E58" t="s">
        <v>30</v>
      </c>
      <c r="F58" t="s">
        <v>31</v>
      </c>
      <c r="G58" t="s">
        <v>32</v>
      </c>
      <c r="H58" t="s">
        <v>33</v>
      </c>
      <c r="I58">
        <v>30</v>
      </c>
      <c r="J58">
        <v>5</v>
      </c>
      <c r="K58">
        <v>3</v>
      </c>
      <c r="L58" s="3" t="str">
        <f t="shared" si="1"/>
        <v>1º Semestre</v>
      </c>
      <c r="M58" s="3" t="str">
        <f t="shared" si="2"/>
        <v>T1</v>
      </c>
      <c r="N58" s="3" t="str">
        <f t="shared" si="0"/>
        <v>mar</v>
      </c>
      <c r="O58" s="3">
        <v>3</v>
      </c>
    </row>
    <row r="59" spans="3:15" ht="28.8" x14ac:dyDescent="0.3">
      <c r="C59">
        <v>58</v>
      </c>
      <c r="D59" t="s">
        <v>91</v>
      </c>
      <c r="E59" t="s">
        <v>19</v>
      </c>
      <c r="F59" t="s">
        <v>37</v>
      </c>
      <c r="G59" t="s">
        <v>38</v>
      </c>
      <c r="H59" t="s">
        <v>22</v>
      </c>
      <c r="I59">
        <v>87</v>
      </c>
      <c r="J59">
        <v>3</v>
      </c>
      <c r="K59">
        <v>2</v>
      </c>
      <c r="L59" s="3" t="str">
        <f t="shared" si="1"/>
        <v>1º Semestre</v>
      </c>
      <c r="M59" s="3" t="str">
        <f t="shared" si="2"/>
        <v>T1</v>
      </c>
      <c r="N59" s="3" t="str">
        <f t="shared" si="0"/>
        <v>mar</v>
      </c>
      <c r="O59" s="3">
        <v>3</v>
      </c>
    </row>
    <row r="60" spans="3:15" ht="28.8" x14ac:dyDescent="0.3">
      <c r="C60">
        <v>59</v>
      </c>
      <c r="D60" t="s">
        <v>92</v>
      </c>
      <c r="E60" t="s">
        <v>13</v>
      </c>
      <c r="F60" t="s">
        <v>43</v>
      </c>
      <c r="G60" t="s">
        <v>44</v>
      </c>
      <c r="H60" t="s">
        <v>22</v>
      </c>
      <c r="I60">
        <v>100</v>
      </c>
      <c r="J60">
        <v>4</v>
      </c>
      <c r="K60">
        <v>3</v>
      </c>
      <c r="L60" s="3" t="str">
        <f t="shared" si="1"/>
        <v>1º Semestre</v>
      </c>
      <c r="M60" s="3" t="str">
        <f t="shared" si="2"/>
        <v>T1</v>
      </c>
      <c r="N60" s="3" t="str">
        <f t="shared" si="0"/>
        <v>mar</v>
      </c>
      <c r="O60" s="3">
        <v>3</v>
      </c>
    </row>
    <row r="61" spans="3:15" ht="28.8" x14ac:dyDescent="0.3">
      <c r="C61">
        <v>60</v>
      </c>
      <c r="D61" t="s">
        <v>92</v>
      </c>
      <c r="E61" t="s">
        <v>23</v>
      </c>
      <c r="F61" t="s">
        <v>20</v>
      </c>
      <c r="G61" t="s">
        <v>41</v>
      </c>
      <c r="H61" t="s">
        <v>33</v>
      </c>
      <c r="I61">
        <v>42</v>
      </c>
      <c r="J61">
        <v>8</v>
      </c>
      <c r="K61">
        <v>1</v>
      </c>
      <c r="L61" s="3" t="str">
        <f t="shared" si="1"/>
        <v>1º Semestre</v>
      </c>
      <c r="M61" s="3" t="str">
        <f t="shared" si="2"/>
        <v>T1</v>
      </c>
      <c r="N61" s="3" t="str">
        <f t="shared" si="0"/>
        <v>mar</v>
      </c>
      <c r="O61" s="3">
        <v>3</v>
      </c>
    </row>
    <row r="62" spans="3:15" ht="57.6" x14ac:dyDescent="0.3">
      <c r="C62" s="3">
        <v>61</v>
      </c>
      <c r="D62" s="4">
        <v>45749</v>
      </c>
      <c r="E62" s="5" t="s">
        <v>13</v>
      </c>
      <c r="F62" s="5" t="s">
        <v>14</v>
      </c>
      <c r="G62" s="5" t="s">
        <v>15</v>
      </c>
      <c r="H62" s="5" t="s">
        <v>16</v>
      </c>
      <c r="I62" s="3">
        <v>100</v>
      </c>
      <c r="J62" s="3">
        <v>4</v>
      </c>
      <c r="K62" s="3">
        <v>2</v>
      </c>
      <c r="L62" s="3" t="str">
        <f t="shared" si="1"/>
        <v>1º Semestre</v>
      </c>
      <c r="M62" s="3" t="str">
        <f t="shared" si="2"/>
        <v>T2</v>
      </c>
      <c r="N62" s="3" t="str">
        <f t="shared" si="0"/>
        <v>abr</v>
      </c>
      <c r="O62" s="3">
        <v>4</v>
      </c>
    </row>
    <row r="63" spans="3:15" ht="28.8" x14ac:dyDescent="0.3">
      <c r="C63" s="3">
        <v>62</v>
      </c>
      <c r="D63" s="4">
        <v>45750</v>
      </c>
      <c r="E63" s="5" t="s">
        <v>19</v>
      </c>
      <c r="F63" s="5" t="s">
        <v>20</v>
      </c>
      <c r="G63" s="5" t="s">
        <v>21</v>
      </c>
      <c r="H63" s="5" t="s">
        <v>22</v>
      </c>
      <c r="I63" s="3">
        <v>86</v>
      </c>
      <c r="J63" s="3">
        <v>7</v>
      </c>
      <c r="K63" s="3">
        <v>1</v>
      </c>
      <c r="L63" s="3" t="str">
        <f t="shared" si="1"/>
        <v>1º Semestre</v>
      </c>
      <c r="M63" s="3" t="str">
        <f t="shared" si="2"/>
        <v>T2</v>
      </c>
      <c r="N63" s="3" t="str">
        <f t="shared" si="0"/>
        <v>abr</v>
      </c>
      <c r="O63" s="3">
        <v>4</v>
      </c>
    </row>
    <row r="64" spans="3:15" ht="28.8" x14ac:dyDescent="0.3">
      <c r="C64" s="3">
        <v>63</v>
      </c>
      <c r="D64" s="4">
        <v>45751</v>
      </c>
      <c r="E64" s="5" t="s">
        <v>23</v>
      </c>
      <c r="F64" s="5" t="s">
        <v>24</v>
      </c>
      <c r="G64" s="5" t="s">
        <v>25</v>
      </c>
      <c r="H64" s="5" t="s">
        <v>22</v>
      </c>
      <c r="I64" s="3">
        <v>40</v>
      </c>
      <c r="J64" s="3">
        <v>5</v>
      </c>
      <c r="K64" s="3">
        <v>3</v>
      </c>
      <c r="L64" s="3" t="str">
        <f t="shared" si="1"/>
        <v>1º Semestre</v>
      </c>
      <c r="M64" s="3" t="str">
        <f t="shared" si="2"/>
        <v>T2</v>
      </c>
      <c r="N64" s="3" t="str">
        <f t="shared" si="0"/>
        <v>abr</v>
      </c>
      <c r="O64" s="3">
        <v>4</v>
      </c>
    </row>
    <row r="65" spans="3:15" ht="28.8" x14ac:dyDescent="0.3">
      <c r="C65" s="3">
        <v>64</v>
      </c>
      <c r="D65" s="4">
        <v>45754</v>
      </c>
      <c r="E65" s="5" t="s">
        <v>26</v>
      </c>
      <c r="F65" s="5" t="s">
        <v>27</v>
      </c>
      <c r="G65" s="5" t="s">
        <v>28</v>
      </c>
      <c r="H65" s="5" t="s">
        <v>16</v>
      </c>
      <c r="I65" s="3">
        <v>26</v>
      </c>
      <c r="J65" s="3">
        <v>2</v>
      </c>
      <c r="K65" s="3">
        <v>1</v>
      </c>
      <c r="L65" s="3" t="str">
        <f t="shared" si="1"/>
        <v>1º Semestre</v>
      </c>
      <c r="M65" s="3" t="str">
        <f t="shared" si="2"/>
        <v>T2</v>
      </c>
      <c r="N65" s="3" t="str">
        <f t="shared" si="0"/>
        <v>abr</v>
      </c>
      <c r="O65" s="3">
        <v>4</v>
      </c>
    </row>
    <row r="66" spans="3:15" ht="43.2" x14ac:dyDescent="0.3">
      <c r="C66" s="3">
        <v>65</v>
      </c>
      <c r="D66" s="4">
        <v>45755</v>
      </c>
      <c r="E66" s="5" t="s">
        <v>13</v>
      </c>
      <c r="F66" s="5" t="s">
        <v>17</v>
      </c>
      <c r="G66" s="5" t="s">
        <v>18</v>
      </c>
      <c r="H66" s="5" t="s">
        <v>16</v>
      </c>
      <c r="I66" s="3">
        <v>100</v>
      </c>
      <c r="J66" s="3">
        <v>2</v>
      </c>
      <c r="K66" s="3">
        <v>1</v>
      </c>
      <c r="L66" s="3" t="str">
        <f t="shared" si="1"/>
        <v>1º Semestre</v>
      </c>
      <c r="M66" s="3" t="str">
        <f t="shared" si="2"/>
        <v>T2</v>
      </c>
      <c r="N66" s="3" t="str">
        <f t="shared" ref="N66:N129" si="3">TEXT(D66,"MMM")</f>
        <v>abr</v>
      </c>
      <c r="O66" s="3">
        <v>4</v>
      </c>
    </row>
    <row r="67" spans="3:15" ht="57.6" x14ac:dyDescent="0.3">
      <c r="C67" s="3">
        <v>66</v>
      </c>
      <c r="D67" s="4">
        <v>45756</v>
      </c>
      <c r="E67" s="5" t="s">
        <v>30</v>
      </c>
      <c r="F67" s="5" t="s">
        <v>31</v>
      </c>
      <c r="G67" s="5" t="s">
        <v>32</v>
      </c>
      <c r="H67" s="5" t="s">
        <v>33</v>
      </c>
      <c r="I67" s="3">
        <v>30</v>
      </c>
      <c r="J67" s="3">
        <v>5</v>
      </c>
      <c r="K67" s="3">
        <v>1</v>
      </c>
      <c r="L67" s="3" t="str">
        <f t="shared" ref="L67:L130" si="4">IF(MONTH(N67 &amp; " 1")&lt;=6, "1º Semestre", "2º Semestre")</f>
        <v>1º Semestre</v>
      </c>
      <c r="M67" s="3" t="str">
        <f t="shared" ref="M67:M130" si="5">"T"&amp;ROUNDUP(VALUE(O67)/3,0)</f>
        <v>T2</v>
      </c>
      <c r="N67" s="3" t="str">
        <f t="shared" si="3"/>
        <v>abr</v>
      </c>
      <c r="O67" s="3">
        <v>4</v>
      </c>
    </row>
    <row r="68" spans="3:15" ht="57.6" x14ac:dyDescent="0.3">
      <c r="C68" s="3">
        <v>67</v>
      </c>
      <c r="D68" s="4">
        <v>45757</v>
      </c>
      <c r="E68" s="5" t="s">
        <v>13</v>
      </c>
      <c r="F68" s="5" t="s">
        <v>37</v>
      </c>
      <c r="G68" s="5" t="s">
        <v>38</v>
      </c>
      <c r="H68" s="5" t="s">
        <v>22</v>
      </c>
      <c r="I68" s="3">
        <v>100</v>
      </c>
      <c r="J68" s="3">
        <v>3</v>
      </c>
      <c r="K68" s="3">
        <v>2</v>
      </c>
      <c r="L68" s="3" t="str">
        <f t="shared" si="4"/>
        <v>1º Semestre</v>
      </c>
      <c r="M68" s="3" t="str">
        <f t="shared" si="5"/>
        <v>T2</v>
      </c>
      <c r="N68" s="3" t="str">
        <f t="shared" si="3"/>
        <v>abr</v>
      </c>
      <c r="O68" s="3">
        <v>4</v>
      </c>
    </row>
    <row r="69" spans="3:15" ht="28.8" x14ac:dyDescent="0.3">
      <c r="C69" s="3">
        <v>68</v>
      </c>
      <c r="D69" s="4">
        <v>45758</v>
      </c>
      <c r="E69" s="5" t="s">
        <v>26</v>
      </c>
      <c r="F69" s="5" t="s">
        <v>14</v>
      </c>
      <c r="G69" s="5" t="s">
        <v>29</v>
      </c>
      <c r="H69" s="5" t="s">
        <v>16</v>
      </c>
      <c r="I69" s="3">
        <v>26</v>
      </c>
      <c r="J69" s="3">
        <v>3</v>
      </c>
      <c r="K69" s="3">
        <v>1</v>
      </c>
      <c r="L69" s="3" t="str">
        <f t="shared" si="4"/>
        <v>1º Semestre</v>
      </c>
      <c r="M69" s="3" t="str">
        <f t="shared" si="5"/>
        <v>T2</v>
      </c>
      <c r="N69" s="3" t="str">
        <f t="shared" si="3"/>
        <v>abr</v>
      </c>
      <c r="O69" s="3">
        <v>4</v>
      </c>
    </row>
    <row r="70" spans="3:15" ht="43.2" x14ac:dyDescent="0.3">
      <c r="C70" s="3">
        <v>69</v>
      </c>
      <c r="D70" s="4">
        <v>45761</v>
      </c>
      <c r="E70" s="5" t="s">
        <v>23</v>
      </c>
      <c r="F70" s="5" t="s">
        <v>20</v>
      </c>
      <c r="G70" s="5" t="s">
        <v>41</v>
      </c>
      <c r="H70" s="5" t="s">
        <v>33</v>
      </c>
      <c r="I70" s="3">
        <v>40</v>
      </c>
      <c r="J70" s="3">
        <v>8</v>
      </c>
      <c r="K70" s="3">
        <v>1</v>
      </c>
      <c r="L70" s="3" t="str">
        <f t="shared" si="4"/>
        <v>1º Semestre</v>
      </c>
      <c r="M70" s="3" t="str">
        <f t="shared" si="5"/>
        <v>T2</v>
      </c>
      <c r="N70" s="3" t="str">
        <f t="shared" si="3"/>
        <v>abr</v>
      </c>
      <c r="O70" s="3">
        <v>4</v>
      </c>
    </row>
    <row r="71" spans="3:15" ht="43.2" x14ac:dyDescent="0.3">
      <c r="C71" s="3">
        <v>70</v>
      </c>
      <c r="D71" s="4">
        <v>45762</v>
      </c>
      <c r="E71" s="5" t="s">
        <v>13</v>
      </c>
      <c r="F71" s="5" t="s">
        <v>43</v>
      </c>
      <c r="G71" s="5" t="s">
        <v>44</v>
      </c>
      <c r="H71" s="5" t="s">
        <v>22</v>
      </c>
      <c r="I71" s="3">
        <v>110</v>
      </c>
      <c r="J71" s="3">
        <v>4</v>
      </c>
      <c r="K71" s="3">
        <v>3</v>
      </c>
      <c r="L71" s="3" t="str">
        <f t="shared" si="4"/>
        <v>1º Semestre</v>
      </c>
      <c r="M71" s="3" t="str">
        <f t="shared" si="5"/>
        <v>T2</v>
      </c>
      <c r="N71" s="3" t="str">
        <f t="shared" si="3"/>
        <v>abr</v>
      </c>
      <c r="O71" s="3">
        <v>4</v>
      </c>
    </row>
    <row r="72" spans="3:15" ht="28.8" x14ac:dyDescent="0.3">
      <c r="C72" s="3">
        <v>71</v>
      </c>
      <c r="D72" s="4">
        <v>45763</v>
      </c>
      <c r="E72" s="5" t="s">
        <v>19</v>
      </c>
      <c r="F72" s="5" t="s">
        <v>24</v>
      </c>
      <c r="G72" s="5" t="s">
        <v>46</v>
      </c>
      <c r="H72" s="5" t="s">
        <v>22</v>
      </c>
      <c r="I72" s="3">
        <v>85</v>
      </c>
      <c r="J72" s="3">
        <v>4</v>
      </c>
      <c r="K72" s="3">
        <v>2</v>
      </c>
      <c r="L72" s="3" t="str">
        <f t="shared" si="4"/>
        <v>1º Semestre</v>
      </c>
      <c r="M72" s="3" t="str">
        <f t="shared" si="5"/>
        <v>T2</v>
      </c>
      <c r="N72" s="3" t="str">
        <f t="shared" si="3"/>
        <v>abr</v>
      </c>
      <c r="O72" s="3">
        <v>4</v>
      </c>
    </row>
    <row r="73" spans="3:15" ht="57.6" x14ac:dyDescent="0.3">
      <c r="C73" s="3">
        <v>72</v>
      </c>
      <c r="D73" s="4">
        <v>45764</v>
      </c>
      <c r="E73" s="5" t="s">
        <v>30</v>
      </c>
      <c r="F73" s="5" t="s">
        <v>31</v>
      </c>
      <c r="G73" s="5" t="s">
        <v>32</v>
      </c>
      <c r="H73" s="5" t="s">
        <v>33</v>
      </c>
      <c r="I73" s="3">
        <v>25</v>
      </c>
      <c r="J73" s="3">
        <v>5</v>
      </c>
      <c r="K73" s="3">
        <v>4</v>
      </c>
      <c r="L73" s="3" t="str">
        <f t="shared" si="4"/>
        <v>1º Semestre</v>
      </c>
      <c r="M73" s="3" t="str">
        <f t="shared" si="5"/>
        <v>T2</v>
      </c>
      <c r="N73" s="3" t="str">
        <f t="shared" si="3"/>
        <v>abr</v>
      </c>
      <c r="O73" s="3">
        <v>4</v>
      </c>
    </row>
    <row r="74" spans="3:15" ht="43.2" x14ac:dyDescent="0.3">
      <c r="C74" s="3">
        <v>73</v>
      </c>
      <c r="D74" s="4">
        <v>45769</v>
      </c>
      <c r="E74" s="5" t="s">
        <v>13</v>
      </c>
      <c r="F74" s="5" t="s">
        <v>17</v>
      </c>
      <c r="G74" s="5" t="s">
        <v>50</v>
      </c>
      <c r="H74" s="5" t="s">
        <v>16</v>
      </c>
      <c r="I74" s="3">
        <v>110</v>
      </c>
      <c r="J74" s="3">
        <v>2</v>
      </c>
      <c r="K74" s="3">
        <v>1</v>
      </c>
      <c r="L74" s="3" t="str">
        <f t="shared" si="4"/>
        <v>1º Semestre</v>
      </c>
      <c r="M74" s="3" t="str">
        <f t="shared" si="5"/>
        <v>T2</v>
      </c>
      <c r="N74" s="3" t="str">
        <f t="shared" si="3"/>
        <v>abr</v>
      </c>
      <c r="O74" s="3">
        <v>4</v>
      </c>
    </row>
    <row r="75" spans="3:15" ht="72" x14ac:dyDescent="0.3">
      <c r="C75" s="3">
        <v>74</v>
      </c>
      <c r="D75" s="4">
        <v>45770</v>
      </c>
      <c r="E75" s="5" t="s">
        <v>26</v>
      </c>
      <c r="F75" s="5" t="s">
        <v>27</v>
      </c>
      <c r="G75" s="5" t="s">
        <v>39</v>
      </c>
      <c r="H75" s="5" t="s">
        <v>16</v>
      </c>
      <c r="I75" s="3">
        <v>26</v>
      </c>
      <c r="J75" s="3">
        <v>2</v>
      </c>
      <c r="K75" s="3">
        <v>1</v>
      </c>
      <c r="L75" s="3" t="str">
        <f t="shared" si="4"/>
        <v>1º Semestre</v>
      </c>
      <c r="M75" s="3" t="str">
        <f t="shared" si="5"/>
        <v>T2</v>
      </c>
      <c r="N75" s="3" t="str">
        <f t="shared" si="3"/>
        <v>abr</v>
      </c>
      <c r="O75" s="3">
        <v>4</v>
      </c>
    </row>
    <row r="76" spans="3:15" ht="28.8" x14ac:dyDescent="0.3">
      <c r="C76" s="3">
        <v>75</v>
      </c>
      <c r="D76" s="4">
        <v>45771</v>
      </c>
      <c r="E76" s="5" t="s">
        <v>19</v>
      </c>
      <c r="F76" s="5" t="s">
        <v>20</v>
      </c>
      <c r="G76" s="5" t="s">
        <v>21</v>
      </c>
      <c r="H76" s="5" t="s">
        <v>22</v>
      </c>
      <c r="I76" s="3">
        <v>85</v>
      </c>
      <c r="J76" s="3">
        <v>6</v>
      </c>
      <c r="K76" s="3">
        <v>1</v>
      </c>
      <c r="L76" s="3" t="str">
        <f t="shared" si="4"/>
        <v>1º Semestre</v>
      </c>
      <c r="M76" s="3" t="str">
        <f t="shared" si="5"/>
        <v>T2</v>
      </c>
      <c r="N76" s="3" t="str">
        <f t="shared" si="3"/>
        <v>abr</v>
      </c>
      <c r="O76" s="3">
        <v>4</v>
      </c>
    </row>
    <row r="77" spans="3:15" ht="57.6" x14ac:dyDescent="0.3">
      <c r="C77" s="3">
        <v>76</v>
      </c>
      <c r="D77" s="4">
        <v>45772</v>
      </c>
      <c r="E77" s="5" t="s">
        <v>13</v>
      </c>
      <c r="F77" s="5" t="s">
        <v>14</v>
      </c>
      <c r="G77" s="5" t="s">
        <v>15</v>
      </c>
      <c r="H77" s="5" t="s">
        <v>16</v>
      </c>
      <c r="I77" s="3">
        <v>100</v>
      </c>
      <c r="J77" s="3">
        <v>3</v>
      </c>
      <c r="K77" s="3">
        <v>2</v>
      </c>
      <c r="L77" s="3" t="str">
        <f t="shared" si="4"/>
        <v>1º Semestre</v>
      </c>
      <c r="M77" s="3" t="str">
        <f t="shared" si="5"/>
        <v>T2</v>
      </c>
      <c r="N77" s="3" t="str">
        <f t="shared" si="3"/>
        <v>abr</v>
      </c>
      <c r="O77" s="3">
        <v>4</v>
      </c>
    </row>
    <row r="78" spans="3:15" ht="28.8" x14ac:dyDescent="0.3">
      <c r="C78" s="3">
        <v>77</v>
      </c>
      <c r="D78" s="4">
        <v>45775</v>
      </c>
      <c r="E78" s="5" t="s">
        <v>23</v>
      </c>
      <c r="F78" s="5" t="s">
        <v>24</v>
      </c>
      <c r="G78" s="5" t="s">
        <v>25</v>
      </c>
      <c r="H78" s="5" t="s">
        <v>22</v>
      </c>
      <c r="I78" s="3">
        <v>40</v>
      </c>
      <c r="J78" s="3">
        <v>5</v>
      </c>
      <c r="K78" s="3">
        <v>3</v>
      </c>
      <c r="L78" s="3" t="str">
        <f t="shared" si="4"/>
        <v>1º Semestre</v>
      </c>
      <c r="M78" s="3" t="str">
        <f t="shared" si="5"/>
        <v>T2</v>
      </c>
      <c r="N78" s="3" t="str">
        <f t="shared" si="3"/>
        <v>abr</v>
      </c>
      <c r="O78" s="3">
        <v>4</v>
      </c>
    </row>
    <row r="79" spans="3:15" ht="72" x14ac:dyDescent="0.3">
      <c r="C79" s="3">
        <v>78</v>
      </c>
      <c r="D79" s="4">
        <v>45776</v>
      </c>
      <c r="E79" s="5" t="s">
        <v>13</v>
      </c>
      <c r="F79" s="5" t="s">
        <v>34</v>
      </c>
      <c r="G79" s="5" t="s">
        <v>35</v>
      </c>
      <c r="H79" s="5" t="s">
        <v>36</v>
      </c>
      <c r="I79" s="3">
        <v>110</v>
      </c>
      <c r="J79" s="3">
        <v>1</v>
      </c>
      <c r="K79" s="3">
        <v>0</v>
      </c>
      <c r="L79" s="3" t="str">
        <f t="shared" si="4"/>
        <v>1º Semestre</v>
      </c>
      <c r="M79" s="3" t="str">
        <f t="shared" si="5"/>
        <v>T2</v>
      </c>
      <c r="N79" s="3" t="str">
        <f t="shared" si="3"/>
        <v>abr</v>
      </c>
      <c r="O79" s="3">
        <v>4</v>
      </c>
    </row>
    <row r="80" spans="3:15" ht="28.8" x14ac:dyDescent="0.3">
      <c r="C80" s="3">
        <v>79</v>
      </c>
      <c r="D80" s="4">
        <v>45776</v>
      </c>
      <c r="E80" s="5" t="s">
        <v>26</v>
      </c>
      <c r="F80" s="5" t="s">
        <v>14</v>
      </c>
      <c r="G80" s="5" t="s">
        <v>29</v>
      </c>
      <c r="H80" s="5" t="s">
        <v>16</v>
      </c>
      <c r="I80" s="3">
        <v>20</v>
      </c>
      <c r="J80" s="3">
        <v>2</v>
      </c>
      <c r="K80" s="3">
        <v>1</v>
      </c>
      <c r="L80" s="3" t="str">
        <f t="shared" si="4"/>
        <v>1º Semestre</v>
      </c>
      <c r="M80" s="3" t="str">
        <f t="shared" si="5"/>
        <v>T2</v>
      </c>
      <c r="N80" s="3" t="str">
        <f t="shared" si="3"/>
        <v>abr</v>
      </c>
      <c r="O80" s="3">
        <v>4</v>
      </c>
    </row>
    <row r="81" spans="3:15" ht="43.2" x14ac:dyDescent="0.3">
      <c r="C81" s="3">
        <v>80</v>
      </c>
      <c r="D81" s="4">
        <v>45777</v>
      </c>
      <c r="E81" s="5" t="s">
        <v>23</v>
      </c>
      <c r="F81" s="5" t="s">
        <v>20</v>
      </c>
      <c r="G81" s="5" t="s">
        <v>41</v>
      </c>
      <c r="H81" s="5" t="s">
        <v>33</v>
      </c>
      <c r="I81" s="3">
        <v>40</v>
      </c>
      <c r="J81" s="3">
        <v>7</v>
      </c>
      <c r="K81" s="3">
        <v>1</v>
      </c>
      <c r="L81" s="3" t="str">
        <f t="shared" si="4"/>
        <v>1º Semestre</v>
      </c>
      <c r="M81" s="3" t="str">
        <f t="shared" si="5"/>
        <v>T2</v>
      </c>
      <c r="N81" s="3" t="str">
        <f t="shared" si="3"/>
        <v>abr</v>
      </c>
      <c r="O81" s="3">
        <v>4</v>
      </c>
    </row>
    <row r="82" spans="3:15" ht="57.6" x14ac:dyDescent="0.3">
      <c r="C82" s="3">
        <v>81</v>
      </c>
      <c r="D82" s="4">
        <v>45779</v>
      </c>
      <c r="E82" s="5" t="s">
        <v>13</v>
      </c>
      <c r="F82" s="5" t="s">
        <v>14</v>
      </c>
      <c r="G82" s="5" t="s">
        <v>15</v>
      </c>
      <c r="H82" s="5" t="s">
        <v>16</v>
      </c>
      <c r="I82" s="3">
        <v>110</v>
      </c>
      <c r="J82" s="3">
        <v>3</v>
      </c>
      <c r="K82" s="3">
        <v>2</v>
      </c>
      <c r="L82" s="3" t="str">
        <f t="shared" si="4"/>
        <v>1º Semestre</v>
      </c>
      <c r="M82" s="3" t="str">
        <f t="shared" si="5"/>
        <v>T2</v>
      </c>
      <c r="N82" s="3" t="str">
        <f t="shared" si="3"/>
        <v>mai</v>
      </c>
      <c r="O82" s="3">
        <v>5</v>
      </c>
    </row>
    <row r="83" spans="3:15" ht="28.8" x14ac:dyDescent="0.3">
      <c r="C83" s="3">
        <v>82</v>
      </c>
      <c r="D83" s="4">
        <v>45782</v>
      </c>
      <c r="E83" s="5" t="s">
        <v>19</v>
      </c>
      <c r="F83" s="5" t="s">
        <v>20</v>
      </c>
      <c r="G83" s="5" t="s">
        <v>21</v>
      </c>
      <c r="H83" s="5" t="s">
        <v>22</v>
      </c>
      <c r="I83" s="3">
        <v>85</v>
      </c>
      <c r="J83" s="3">
        <v>6</v>
      </c>
      <c r="K83" s="3">
        <v>0</v>
      </c>
      <c r="L83" s="3" t="str">
        <f t="shared" si="4"/>
        <v>1º Semestre</v>
      </c>
      <c r="M83" s="3" t="str">
        <f t="shared" si="5"/>
        <v>T2</v>
      </c>
      <c r="N83" s="3" t="str">
        <f t="shared" si="3"/>
        <v>mai</v>
      </c>
      <c r="O83" s="3">
        <v>5</v>
      </c>
    </row>
    <row r="84" spans="3:15" ht="28.8" x14ac:dyDescent="0.3">
      <c r="C84" s="3">
        <v>83</v>
      </c>
      <c r="D84" s="4">
        <v>45783</v>
      </c>
      <c r="E84" s="5" t="s">
        <v>23</v>
      </c>
      <c r="F84" s="5" t="s">
        <v>24</v>
      </c>
      <c r="G84" s="5" t="s">
        <v>25</v>
      </c>
      <c r="H84" s="5" t="s">
        <v>22</v>
      </c>
      <c r="I84" s="3">
        <v>40</v>
      </c>
      <c r="J84" s="3">
        <v>5</v>
      </c>
      <c r="K84" s="3">
        <v>3</v>
      </c>
      <c r="L84" s="3" t="str">
        <f t="shared" si="4"/>
        <v>1º Semestre</v>
      </c>
      <c r="M84" s="3" t="str">
        <f t="shared" si="5"/>
        <v>T2</v>
      </c>
      <c r="N84" s="3" t="str">
        <f t="shared" si="3"/>
        <v>mai</v>
      </c>
      <c r="O84" s="3">
        <v>5</v>
      </c>
    </row>
    <row r="85" spans="3:15" ht="28.8" x14ac:dyDescent="0.3">
      <c r="C85" s="3">
        <v>84</v>
      </c>
      <c r="D85" s="4">
        <v>45784</v>
      </c>
      <c r="E85" s="5" t="s">
        <v>26</v>
      </c>
      <c r="F85" s="5" t="s">
        <v>27</v>
      </c>
      <c r="G85" s="5" t="s">
        <v>28</v>
      </c>
      <c r="H85" s="5" t="s">
        <v>16</v>
      </c>
      <c r="I85" s="3">
        <v>20</v>
      </c>
      <c r="J85" s="3">
        <v>2</v>
      </c>
      <c r="K85" s="3">
        <v>1</v>
      </c>
      <c r="L85" s="3" t="str">
        <f t="shared" si="4"/>
        <v>1º Semestre</v>
      </c>
      <c r="M85" s="3" t="str">
        <f t="shared" si="5"/>
        <v>T2</v>
      </c>
      <c r="N85" s="3" t="str">
        <f t="shared" si="3"/>
        <v>mai</v>
      </c>
      <c r="O85" s="3">
        <v>5</v>
      </c>
    </row>
    <row r="86" spans="3:15" ht="43.2" x14ac:dyDescent="0.3">
      <c r="C86" s="3">
        <v>85</v>
      </c>
      <c r="D86" s="4">
        <v>45785</v>
      </c>
      <c r="E86" s="5" t="s">
        <v>13</v>
      </c>
      <c r="F86" s="5" t="s">
        <v>17</v>
      </c>
      <c r="G86" s="5" t="s">
        <v>18</v>
      </c>
      <c r="H86" s="5" t="s">
        <v>16</v>
      </c>
      <c r="I86" s="3">
        <v>100</v>
      </c>
      <c r="J86" s="3">
        <v>2</v>
      </c>
      <c r="K86" s="3">
        <v>1</v>
      </c>
      <c r="L86" s="3" t="str">
        <f t="shared" si="4"/>
        <v>1º Semestre</v>
      </c>
      <c r="M86" s="3" t="str">
        <f t="shared" si="5"/>
        <v>T2</v>
      </c>
      <c r="N86" s="3" t="str">
        <f t="shared" si="3"/>
        <v>mai</v>
      </c>
      <c r="O86" s="3">
        <v>5</v>
      </c>
    </row>
    <row r="87" spans="3:15" ht="57.6" x14ac:dyDescent="0.3">
      <c r="C87" s="3">
        <v>86</v>
      </c>
      <c r="D87" s="4">
        <v>45786</v>
      </c>
      <c r="E87" s="5" t="s">
        <v>30</v>
      </c>
      <c r="F87" s="5" t="s">
        <v>31</v>
      </c>
      <c r="G87" s="5" t="s">
        <v>32</v>
      </c>
      <c r="H87" s="5" t="s">
        <v>33</v>
      </c>
      <c r="I87" s="3">
        <v>25</v>
      </c>
      <c r="J87" s="3">
        <v>6</v>
      </c>
      <c r="K87" s="3">
        <v>0</v>
      </c>
      <c r="L87" s="3" t="str">
        <f t="shared" si="4"/>
        <v>1º Semestre</v>
      </c>
      <c r="M87" s="3" t="str">
        <f t="shared" si="5"/>
        <v>T2</v>
      </c>
      <c r="N87" s="3" t="str">
        <f t="shared" si="3"/>
        <v>mai</v>
      </c>
      <c r="O87" s="3">
        <v>5</v>
      </c>
    </row>
    <row r="88" spans="3:15" ht="57.6" x14ac:dyDescent="0.3">
      <c r="C88" s="3">
        <v>87</v>
      </c>
      <c r="D88" s="4">
        <v>45789</v>
      </c>
      <c r="E88" s="5" t="s">
        <v>13</v>
      </c>
      <c r="F88" s="5" t="s">
        <v>37</v>
      </c>
      <c r="G88" s="5" t="s">
        <v>38</v>
      </c>
      <c r="H88" s="5" t="s">
        <v>22</v>
      </c>
      <c r="I88" s="3">
        <v>100</v>
      </c>
      <c r="J88" s="3">
        <v>3</v>
      </c>
      <c r="K88" s="3">
        <v>2</v>
      </c>
      <c r="L88" s="3" t="str">
        <f t="shared" si="4"/>
        <v>1º Semestre</v>
      </c>
      <c r="M88" s="3" t="str">
        <f t="shared" si="5"/>
        <v>T2</v>
      </c>
      <c r="N88" s="3" t="str">
        <f t="shared" si="3"/>
        <v>mai</v>
      </c>
      <c r="O88" s="3">
        <v>5</v>
      </c>
    </row>
    <row r="89" spans="3:15" ht="28.8" x14ac:dyDescent="0.3">
      <c r="C89" s="3">
        <v>88</v>
      </c>
      <c r="D89" s="4">
        <v>45790</v>
      </c>
      <c r="E89" s="5" t="s">
        <v>26</v>
      </c>
      <c r="F89" s="5" t="s">
        <v>14</v>
      </c>
      <c r="G89" s="5" t="s">
        <v>29</v>
      </c>
      <c r="H89" s="5" t="s">
        <v>16</v>
      </c>
      <c r="I89" s="3">
        <v>20</v>
      </c>
      <c r="J89" s="3">
        <v>2</v>
      </c>
      <c r="K89" s="3">
        <v>1</v>
      </c>
      <c r="L89" s="3" t="str">
        <f t="shared" si="4"/>
        <v>1º Semestre</v>
      </c>
      <c r="M89" s="3" t="str">
        <f t="shared" si="5"/>
        <v>T2</v>
      </c>
      <c r="N89" s="3" t="str">
        <f t="shared" si="3"/>
        <v>mai</v>
      </c>
      <c r="O89" s="3">
        <v>5</v>
      </c>
    </row>
    <row r="90" spans="3:15" ht="43.2" x14ac:dyDescent="0.3">
      <c r="C90" s="3">
        <v>89</v>
      </c>
      <c r="D90" s="4">
        <v>45791</v>
      </c>
      <c r="E90" s="5" t="s">
        <v>23</v>
      </c>
      <c r="F90" s="5" t="s">
        <v>20</v>
      </c>
      <c r="G90" s="5" t="s">
        <v>41</v>
      </c>
      <c r="H90" s="5" t="s">
        <v>33</v>
      </c>
      <c r="I90" s="3">
        <v>40</v>
      </c>
      <c r="J90" s="3">
        <v>7</v>
      </c>
      <c r="K90" s="3">
        <v>1</v>
      </c>
      <c r="L90" s="3" t="str">
        <f t="shared" si="4"/>
        <v>1º Semestre</v>
      </c>
      <c r="M90" s="3" t="str">
        <f t="shared" si="5"/>
        <v>T2</v>
      </c>
      <c r="N90" s="3" t="str">
        <f t="shared" si="3"/>
        <v>mai</v>
      </c>
      <c r="O90" s="3">
        <v>5</v>
      </c>
    </row>
    <row r="91" spans="3:15" ht="43.2" x14ac:dyDescent="0.3">
      <c r="C91" s="3">
        <v>90</v>
      </c>
      <c r="D91" s="4">
        <v>45792</v>
      </c>
      <c r="E91" s="5" t="s">
        <v>13</v>
      </c>
      <c r="F91" s="5" t="s">
        <v>43</v>
      </c>
      <c r="G91" s="5" t="s">
        <v>44</v>
      </c>
      <c r="H91" s="5" t="s">
        <v>22</v>
      </c>
      <c r="I91" s="3">
        <v>100</v>
      </c>
      <c r="J91" s="3">
        <v>4</v>
      </c>
      <c r="K91" s="3">
        <v>3</v>
      </c>
      <c r="L91" s="3" t="str">
        <f t="shared" si="4"/>
        <v>1º Semestre</v>
      </c>
      <c r="M91" s="3" t="str">
        <f t="shared" si="5"/>
        <v>T2</v>
      </c>
      <c r="N91" s="3" t="str">
        <f t="shared" si="3"/>
        <v>mai</v>
      </c>
      <c r="O91" s="3">
        <v>5</v>
      </c>
    </row>
    <row r="92" spans="3:15" ht="28.8" x14ac:dyDescent="0.3">
      <c r="C92" s="3">
        <v>91</v>
      </c>
      <c r="D92" s="4">
        <v>45793</v>
      </c>
      <c r="E92" s="5" t="s">
        <v>19</v>
      </c>
      <c r="F92" s="5" t="s">
        <v>24</v>
      </c>
      <c r="G92" s="5" t="s">
        <v>46</v>
      </c>
      <c r="H92" s="5" t="s">
        <v>22</v>
      </c>
      <c r="I92" s="3">
        <v>88</v>
      </c>
      <c r="J92" s="3">
        <v>4</v>
      </c>
      <c r="K92" s="3">
        <v>2</v>
      </c>
      <c r="L92" s="3" t="str">
        <f t="shared" si="4"/>
        <v>1º Semestre</v>
      </c>
      <c r="M92" s="3" t="str">
        <f t="shared" si="5"/>
        <v>T2</v>
      </c>
      <c r="N92" s="3" t="str">
        <f t="shared" si="3"/>
        <v>mai</v>
      </c>
      <c r="O92" s="3">
        <v>5</v>
      </c>
    </row>
    <row r="93" spans="3:15" ht="57.6" x14ac:dyDescent="0.3">
      <c r="C93" s="3">
        <v>92</v>
      </c>
      <c r="D93" s="4">
        <v>45796</v>
      </c>
      <c r="E93" s="5" t="s">
        <v>30</v>
      </c>
      <c r="F93" s="5" t="s">
        <v>31</v>
      </c>
      <c r="G93" s="5" t="s">
        <v>32</v>
      </c>
      <c r="H93" s="5" t="s">
        <v>33</v>
      </c>
      <c r="I93" s="3">
        <v>25</v>
      </c>
      <c r="J93" s="3">
        <v>6</v>
      </c>
      <c r="K93" s="3">
        <v>1</v>
      </c>
      <c r="L93" s="3" t="str">
        <f t="shared" si="4"/>
        <v>1º Semestre</v>
      </c>
      <c r="M93" s="3" t="str">
        <f t="shared" si="5"/>
        <v>T2</v>
      </c>
      <c r="N93" s="3" t="str">
        <f t="shared" si="3"/>
        <v>mai</v>
      </c>
      <c r="O93" s="3">
        <v>5</v>
      </c>
    </row>
    <row r="94" spans="3:15" ht="43.2" x14ac:dyDescent="0.3">
      <c r="C94" s="3">
        <v>93</v>
      </c>
      <c r="D94" s="4">
        <v>45797</v>
      </c>
      <c r="E94" s="5" t="s">
        <v>13</v>
      </c>
      <c r="F94" s="5" t="s">
        <v>17</v>
      </c>
      <c r="G94" s="5" t="s">
        <v>50</v>
      </c>
      <c r="H94" s="5" t="s">
        <v>16</v>
      </c>
      <c r="I94" s="3">
        <v>100</v>
      </c>
      <c r="J94" s="3">
        <v>2</v>
      </c>
      <c r="K94" s="3">
        <v>1</v>
      </c>
      <c r="L94" s="3" t="str">
        <f t="shared" si="4"/>
        <v>1º Semestre</v>
      </c>
      <c r="M94" s="3" t="str">
        <f t="shared" si="5"/>
        <v>T2</v>
      </c>
      <c r="N94" s="3" t="str">
        <f t="shared" si="3"/>
        <v>mai</v>
      </c>
      <c r="O94" s="3">
        <v>5</v>
      </c>
    </row>
    <row r="95" spans="3:15" ht="72" x14ac:dyDescent="0.3">
      <c r="C95" s="3">
        <v>94</v>
      </c>
      <c r="D95" s="4">
        <v>45798</v>
      </c>
      <c r="E95" s="5" t="s">
        <v>26</v>
      </c>
      <c r="F95" s="5" t="s">
        <v>27</v>
      </c>
      <c r="G95" s="5" t="s">
        <v>39</v>
      </c>
      <c r="H95" s="5" t="s">
        <v>16</v>
      </c>
      <c r="I95" s="3">
        <v>20</v>
      </c>
      <c r="J95" s="3">
        <v>2</v>
      </c>
      <c r="K95" s="3">
        <v>1</v>
      </c>
      <c r="L95" s="3" t="str">
        <f t="shared" si="4"/>
        <v>1º Semestre</v>
      </c>
      <c r="M95" s="3" t="str">
        <f t="shared" si="5"/>
        <v>T2</v>
      </c>
      <c r="N95" s="3" t="str">
        <f t="shared" si="3"/>
        <v>mai</v>
      </c>
      <c r="O95" s="3">
        <v>5</v>
      </c>
    </row>
    <row r="96" spans="3:15" ht="28.8" x14ac:dyDescent="0.3">
      <c r="C96" s="3">
        <v>95</v>
      </c>
      <c r="D96" s="4">
        <v>45799</v>
      </c>
      <c r="E96" s="5" t="s">
        <v>19</v>
      </c>
      <c r="F96" s="5" t="s">
        <v>20</v>
      </c>
      <c r="G96" s="5" t="s">
        <v>21</v>
      </c>
      <c r="H96" s="5" t="s">
        <v>22</v>
      </c>
      <c r="I96" s="3">
        <v>85</v>
      </c>
      <c r="J96" s="3">
        <v>6</v>
      </c>
      <c r="K96" s="3">
        <v>1</v>
      </c>
      <c r="L96" s="3" t="str">
        <f t="shared" si="4"/>
        <v>1º Semestre</v>
      </c>
      <c r="M96" s="3" t="str">
        <f t="shared" si="5"/>
        <v>T2</v>
      </c>
      <c r="N96" s="3" t="str">
        <f t="shared" si="3"/>
        <v>mai</v>
      </c>
      <c r="O96" s="3">
        <v>5</v>
      </c>
    </row>
    <row r="97" spans="3:15" ht="57.6" x14ac:dyDescent="0.3">
      <c r="C97" s="3">
        <v>96</v>
      </c>
      <c r="D97" s="4">
        <v>45800</v>
      </c>
      <c r="E97" s="5" t="s">
        <v>13</v>
      </c>
      <c r="F97" s="5" t="s">
        <v>14</v>
      </c>
      <c r="G97" s="5" t="s">
        <v>15</v>
      </c>
      <c r="H97" s="5" t="s">
        <v>16</v>
      </c>
      <c r="I97" s="3">
        <v>100</v>
      </c>
      <c r="J97" s="3">
        <v>3</v>
      </c>
      <c r="K97" s="3">
        <v>2</v>
      </c>
      <c r="L97" s="3" t="str">
        <f t="shared" si="4"/>
        <v>1º Semestre</v>
      </c>
      <c r="M97" s="3" t="str">
        <f t="shared" si="5"/>
        <v>T2</v>
      </c>
      <c r="N97" s="3" t="str">
        <f t="shared" si="3"/>
        <v>mai</v>
      </c>
      <c r="O97" s="3">
        <v>5</v>
      </c>
    </row>
    <row r="98" spans="3:15" ht="28.8" x14ac:dyDescent="0.3">
      <c r="C98" s="3">
        <v>97</v>
      </c>
      <c r="D98" s="4">
        <v>45803</v>
      </c>
      <c r="E98" s="5" t="s">
        <v>23</v>
      </c>
      <c r="F98" s="5" t="s">
        <v>24</v>
      </c>
      <c r="G98" s="5" t="s">
        <v>25</v>
      </c>
      <c r="H98" s="5" t="s">
        <v>22</v>
      </c>
      <c r="I98" s="3">
        <v>40</v>
      </c>
      <c r="J98" s="3">
        <v>4</v>
      </c>
      <c r="K98" s="3">
        <v>3</v>
      </c>
      <c r="L98" s="3" t="str">
        <f t="shared" si="4"/>
        <v>1º Semestre</v>
      </c>
      <c r="M98" s="3" t="str">
        <f t="shared" si="5"/>
        <v>T2</v>
      </c>
      <c r="N98" s="3" t="str">
        <f t="shared" si="3"/>
        <v>mai</v>
      </c>
      <c r="O98" s="3">
        <v>5</v>
      </c>
    </row>
    <row r="99" spans="3:15" ht="72" x14ac:dyDescent="0.3">
      <c r="C99" s="3">
        <v>98</v>
      </c>
      <c r="D99" s="4">
        <v>45804</v>
      </c>
      <c r="E99" s="5" t="s">
        <v>13</v>
      </c>
      <c r="F99" s="5" t="s">
        <v>34</v>
      </c>
      <c r="G99" s="5" t="s">
        <v>35</v>
      </c>
      <c r="H99" s="5" t="s">
        <v>36</v>
      </c>
      <c r="I99" s="3">
        <v>100</v>
      </c>
      <c r="J99" s="3">
        <v>1</v>
      </c>
      <c r="K99" s="3">
        <v>1</v>
      </c>
      <c r="L99" s="3" t="str">
        <f t="shared" si="4"/>
        <v>1º Semestre</v>
      </c>
      <c r="M99" s="3" t="str">
        <f t="shared" si="5"/>
        <v>T2</v>
      </c>
      <c r="N99" s="3" t="str">
        <f t="shared" si="3"/>
        <v>mai</v>
      </c>
      <c r="O99" s="3">
        <v>5</v>
      </c>
    </row>
    <row r="100" spans="3:15" ht="28.8" x14ac:dyDescent="0.3">
      <c r="C100" s="3">
        <v>99</v>
      </c>
      <c r="D100" s="4">
        <v>45805</v>
      </c>
      <c r="E100" s="5" t="s">
        <v>26</v>
      </c>
      <c r="F100" s="5" t="s">
        <v>14</v>
      </c>
      <c r="G100" s="5" t="s">
        <v>29</v>
      </c>
      <c r="H100" s="5" t="s">
        <v>16</v>
      </c>
      <c r="I100" s="3">
        <v>20</v>
      </c>
      <c r="J100" s="3">
        <v>2</v>
      </c>
      <c r="K100" s="3">
        <v>1</v>
      </c>
      <c r="L100" s="3" t="str">
        <f t="shared" si="4"/>
        <v>1º Semestre</v>
      </c>
      <c r="M100" s="3" t="str">
        <f t="shared" si="5"/>
        <v>T2</v>
      </c>
      <c r="N100" s="3" t="str">
        <f t="shared" si="3"/>
        <v>mai</v>
      </c>
      <c r="O100" s="3">
        <v>5</v>
      </c>
    </row>
    <row r="101" spans="3:15" ht="43.2" x14ac:dyDescent="0.3">
      <c r="C101" s="3">
        <v>100</v>
      </c>
      <c r="D101" s="4">
        <v>45807</v>
      </c>
      <c r="E101" s="5" t="s">
        <v>23</v>
      </c>
      <c r="F101" s="5" t="s">
        <v>20</v>
      </c>
      <c r="G101" s="5" t="s">
        <v>41</v>
      </c>
      <c r="H101" s="5" t="s">
        <v>33</v>
      </c>
      <c r="I101" s="3">
        <v>40</v>
      </c>
      <c r="J101" s="3">
        <v>6</v>
      </c>
      <c r="K101" s="3">
        <v>1</v>
      </c>
      <c r="L101" s="3" t="str">
        <f t="shared" si="4"/>
        <v>1º Semestre</v>
      </c>
      <c r="M101" s="3" t="str">
        <f t="shared" si="5"/>
        <v>T2</v>
      </c>
      <c r="N101" s="3" t="str">
        <f t="shared" si="3"/>
        <v>mai</v>
      </c>
      <c r="O101" s="3">
        <v>5</v>
      </c>
    </row>
    <row r="102" spans="3:15" ht="57.6" x14ac:dyDescent="0.3">
      <c r="C102" s="3">
        <v>101</v>
      </c>
      <c r="D102" s="4">
        <v>45810</v>
      </c>
      <c r="E102" s="5" t="s">
        <v>13</v>
      </c>
      <c r="F102" s="5" t="s">
        <v>14</v>
      </c>
      <c r="G102" s="5" t="s">
        <v>15</v>
      </c>
      <c r="H102" s="5" t="s">
        <v>16</v>
      </c>
      <c r="I102" s="3">
        <v>110</v>
      </c>
      <c r="J102" s="3">
        <v>2</v>
      </c>
      <c r="K102" s="3">
        <v>1</v>
      </c>
      <c r="L102" s="3" t="str">
        <f t="shared" si="4"/>
        <v>1º Semestre</v>
      </c>
      <c r="M102" s="3" t="str">
        <f t="shared" si="5"/>
        <v>T2</v>
      </c>
      <c r="N102" s="3" t="str">
        <f t="shared" si="3"/>
        <v>jun</v>
      </c>
      <c r="O102" s="3">
        <v>6</v>
      </c>
    </row>
    <row r="103" spans="3:15" ht="28.8" x14ac:dyDescent="0.3">
      <c r="C103" s="3">
        <v>102</v>
      </c>
      <c r="D103" s="4">
        <v>45811</v>
      </c>
      <c r="E103" s="5" t="s">
        <v>19</v>
      </c>
      <c r="F103" s="5" t="s">
        <v>20</v>
      </c>
      <c r="G103" s="5" t="s">
        <v>21</v>
      </c>
      <c r="H103" s="5" t="s">
        <v>22</v>
      </c>
      <c r="I103" s="3">
        <v>80</v>
      </c>
      <c r="J103" s="3">
        <v>5</v>
      </c>
      <c r="K103" s="3">
        <v>1</v>
      </c>
      <c r="L103" s="3" t="str">
        <f t="shared" si="4"/>
        <v>1º Semestre</v>
      </c>
      <c r="M103" s="3" t="str">
        <f t="shared" si="5"/>
        <v>T2</v>
      </c>
      <c r="N103" s="3" t="str">
        <f t="shared" si="3"/>
        <v>jun</v>
      </c>
      <c r="O103" s="3">
        <v>6</v>
      </c>
    </row>
    <row r="104" spans="3:15" ht="28.8" x14ac:dyDescent="0.3">
      <c r="C104" s="3">
        <v>103</v>
      </c>
      <c r="D104" s="4">
        <v>45812</v>
      </c>
      <c r="E104" s="5" t="s">
        <v>23</v>
      </c>
      <c r="F104" s="5" t="s">
        <v>24</v>
      </c>
      <c r="G104" s="5" t="s">
        <v>25</v>
      </c>
      <c r="H104" s="5" t="s">
        <v>22</v>
      </c>
      <c r="I104" s="3">
        <v>50</v>
      </c>
      <c r="J104" s="3">
        <v>4</v>
      </c>
      <c r="K104" s="3">
        <v>2</v>
      </c>
      <c r="L104" s="3" t="str">
        <f t="shared" si="4"/>
        <v>1º Semestre</v>
      </c>
      <c r="M104" s="3" t="str">
        <f t="shared" si="5"/>
        <v>T2</v>
      </c>
      <c r="N104" s="3" t="str">
        <f t="shared" si="3"/>
        <v>jun</v>
      </c>
      <c r="O104" s="3">
        <v>6</v>
      </c>
    </row>
    <row r="105" spans="3:15" ht="28.8" x14ac:dyDescent="0.3">
      <c r="C105" s="3">
        <v>104</v>
      </c>
      <c r="D105" s="4">
        <v>45813</v>
      </c>
      <c r="E105" s="5" t="s">
        <v>26</v>
      </c>
      <c r="F105" s="5" t="s">
        <v>27</v>
      </c>
      <c r="G105" s="5" t="s">
        <v>28</v>
      </c>
      <c r="H105" s="5" t="s">
        <v>16</v>
      </c>
      <c r="I105" s="3">
        <v>30</v>
      </c>
      <c r="J105" s="3">
        <v>1</v>
      </c>
      <c r="K105" s="3">
        <v>1</v>
      </c>
      <c r="L105" s="3" t="str">
        <f t="shared" si="4"/>
        <v>1º Semestre</v>
      </c>
      <c r="M105" s="3" t="str">
        <f t="shared" si="5"/>
        <v>T2</v>
      </c>
      <c r="N105" s="3" t="str">
        <f t="shared" si="3"/>
        <v>jun</v>
      </c>
      <c r="O105" s="3">
        <v>6</v>
      </c>
    </row>
    <row r="106" spans="3:15" ht="43.2" x14ac:dyDescent="0.3">
      <c r="C106" s="3">
        <v>105</v>
      </c>
      <c r="D106" s="4">
        <v>45814</v>
      </c>
      <c r="E106" s="5" t="s">
        <v>13</v>
      </c>
      <c r="F106" s="5" t="s">
        <v>17</v>
      </c>
      <c r="G106" s="5" t="s">
        <v>18</v>
      </c>
      <c r="H106" s="5" t="s">
        <v>16</v>
      </c>
      <c r="I106" s="3">
        <v>110</v>
      </c>
      <c r="J106" s="3">
        <v>2</v>
      </c>
      <c r="K106" s="3">
        <v>1</v>
      </c>
      <c r="L106" s="3" t="str">
        <f t="shared" si="4"/>
        <v>1º Semestre</v>
      </c>
      <c r="M106" s="3" t="str">
        <f t="shared" si="5"/>
        <v>T2</v>
      </c>
      <c r="N106" s="3" t="str">
        <f t="shared" si="3"/>
        <v>jun</v>
      </c>
      <c r="O106" s="3">
        <v>6</v>
      </c>
    </row>
    <row r="107" spans="3:15" ht="57.6" x14ac:dyDescent="0.3">
      <c r="C107" s="3">
        <v>106</v>
      </c>
      <c r="D107" s="4">
        <v>45817</v>
      </c>
      <c r="E107" s="5" t="s">
        <v>30</v>
      </c>
      <c r="F107" s="5" t="s">
        <v>31</v>
      </c>
      <c r="G107" s="5" t="s">
        <v>32</v>
      </c>
      <c r="H107" s="5" t="s">
        <v>33</v>
      </c>
      <c r="I107" s="3">
        <v>25</v>
      </c>
      <c r="J107" s="3">
        <v>5</v>
      </c>
      <c r="K107" s="3">
        <v>0</v>
      </c>
      <c r="L107" s="3" t="str">
        <f t="shared" si="4"/>
        <v>1º Semestre</v>
      </c>
      <c r="M107" s="3" t="str">
        <f t="shared" si="5"/>
        <v>T2</v>
      </c>
      <c r="N107" s="3" t="str">
        <f t="shared" si="3"/>
        <v>jun</v>
      </c>
      <c r="O107" s="3">
        <v>6</v>
      </c>
    </row>
    <row r="108" spans="3:15" ht="57.6" x14ac:dyDescent="0.3">
      <c r="C108" s="3">
        <v>107</v>
      </c>
      <c r="D108" s="4">
        <v>45818</v>
      </c>
      <c r="E108" s="5" t="s">
        <v>13</v>
      </c>
      <c r="F108" s="5" t="s">
        <v>37</v>
      </c>
      <c r="G108" s="5" t="s">
        <v>38</v>
      </c>
      <c r="H108" s="5" t="s">
        <v>22</v>
      </c>
      <c r="I108" s="3">
        <v>110</v>
      </c>
      <c r="J108" s="3">
        <v>2</v>
      </c>
      <c r="K108" s="3">
        <v>1</v>
      </c>
      <c r="L108" s="3" t="str">
        <f t="shared" si="4"/>
        <v>1º Semestre</v>
      </c>
      <c r="M108" s="3" t="str">
        <f t="shared" si="5"/>
        <v>T2</v>
      </c>
      <c r="N108" s="3" t="str">
        <f t="shared" si="3"/>
        <v>jun</v>
      </c>
      <c r="O108" s="3">
        <v>6</v>
      </c>
    </row>
    <row r="109" spans="3:15" ht="28.8" x14ac:dyDescent="0.3">
      <c r="C109" s="3">
        <v>108</v>
      </c>
      <c r="D109" s="4">
        <v>45819</v>
      </c>
      <c r="E109" s="5" t="s">
        <v>26</v>
      </c>
      <c r="F109" s="5" t="s">
        <v>14</v>
      </c>
      <c r="G109" s="5" t="s">
        <v>29</v>
      </c>
      <c r="H109" s="5" t="s">
        <v>16</v>
      </c>
      <c r="I109" s="3">
        <v>30</v>
      </c>
      <c r="J109" s="3">
        <v>2</v>
      </c>
      <c r="K109" s="3">
        <v>1</v>
      </c>
      <c r="L109" s="3" t="str">
        <f t="shared" si="4"/>
        <v>1º Semestre</v>
      </c>
      <c r="M109" s="3" t="str">
        <f t="shared" si="5"/>
        <v>T2</v>
      </c>
      <c r="N109" s="3" t="str">
        <f t="shared" si="3"/>
        <v>jun</v>
      </c>
      <c r="O109" s="3">
        <v>6</v>
      </c>
    </row>
    <row r="110" spans="3:15" ht="43.2" x14ac:dyDescent="0.3">
      <c r="C110" s="3">
        <v>109</v>
      </c>
      <c r="D110" s="4">
        <v>45820</v>
      </c>
      <c r="E110" s="5" t="s">
        <v>23</v>
      </c>
      <c r="F110" s="5" t="s">
        <v>20</v>
      </c>
      <c r="G110" s="5" t="s">
        <v>41</v>
      </c>
      <c r="H110" s="5" t="s">
        <v>33</v>
      </c>
      <c r="I110" s="3">
        <v>50</v>
      </c>
      <c r="J110" s="3">
        <v>6</v>
      </c>
      <c r="K110" s="3">
        <v>1</v>
      </c>
      <c r="L110" s="3" t="str">
        <f t="shared" si="4"/>
        <v>1º Semestre</v>
      </c>
      <c r="M110" s="3" t="str">
        <f t="shared" si="5"/>
        <v>T2</v>
      </c>
      <c r="N110" s="3" t="str">
        <f t="shared" si="3"/>
        <v>jun</v>
      </c>
      <c r="O110" s="3">
        <v>6</v>
      </c>
    </row>
    <row r="111" spans="3:15" ht="43.2" x14ac:dyDescent="0.3">
      <c r="C111" s="3">
        <v>110</v>
      </c>
      <c r="D111" s="4">
        <v>45821</v>
      </c>
      <c r="E111" s="5" t="s">
        <v>13</v>
      </c>
      <c r="F111" s="5" t="s">
        <v>43</v>
      </c>
      <c r="G111" s="5" t="s">
        <v>44</v>
      </c>
      <c r="H111" s="5" t="s">
        <v>22</v>
      </c>
      <c r="I111" s="3">
        <v>109</v>
      </c>
      <c r="J111" s="3">
        <v>3</v>
      </c>
      <c r="K111" s="3">
        <v>2</v>
      </c>
      <c r="L111" s="3" t="str">
        <f t="shared" si="4"/>
        <v>1º Semestre</v>
      </c>
      <c r="M111" s="3" t="str">
        <f t="shared" si="5"/>
        <v>T2</v>
      </c>
      <c r="N111" s="3" t="str">
        <f t="shared" si="3"/>
        <v>jun</v>
      </c>
      <c r="O111" s="3">
        <v>6</v>
      </c>
    </row>
    <row r="112" spans="3:15" ht="28.8" x14ac:dyDescent="0.3">
      <c r="C112" s="3">
        <v>111</v>
      </c>
      <c r="D112" s="4">
        <v>45824</v>
      </c>
      <c r="E112" s="5" t="s">
        <v>19</v>
      </c>
      <c r="F112" s="5" t="s">
        <v>24</v>
      </c>
      <c r="G112" s="5" t="s">
        <v>46</v>
      </c>
      <c r="H112" s="5" t="s">
        <v>22</v>
      </c>
      <c r="I112" s="3">
        <v>80</v>
      </c>
      <c r="J112" s="3">
        <v>3</v>
      </c>
      <c r="K112" s="3">
        <v>2</v>
      </c>
      <c r="L112" s="3" t="str">
        <f t="shared" si="4"/>
        <v>1º Semestre</v>
      </c>
      <c r="M112" s="3" t="str">
        <f t="shared" si="5"/>
        <v>T2</v>
      </c>
      <c r="N112" s="3" t="str">
        <f t="shared" si="3"/>
        <v>jun</v>
      </c>
      <c r="O112" s="3">
        <v>6</v>
      </c>
    </row>
    <row r="113" spans="3:15" ht="57.6" x14ac:dyDescent="0.3">
      <c r="C113" s="3">
        <v>112</v>
      </c>
      <c r="D113" s="4">
        <v>45825</v>
      </c>
      <c r="E113" s="5" t="s">
        <v>30</v>
      </c>
      <c r="F113" s="5" t="s">
        <v>31</v>
      </c>
      <c r="G113" s="5" t="s">
        <v>32</v>
      </c>
      <c r="H113" s="5" t="s">
        <v>33</v>
      </c>
      <c r="I113" s="3">
        <v>25</v>
      </c>
      <c r="J113" s="3">
        <v>5</v>
      </c>
      <c r="K113" s="3">
        <v>2</v>
      </c>
      <c r="L113" s="3" t="str">
        <f t="shared" si="4"/>
        <v>1º Semestre</v>
      </c>
      <c r="M113" s="3" t="str">
        <f t="shared" si="5"/>
        <v>T2</v>
      </c>
      <c r="N113" s="3" t="str">
        <f t="shared" si="3"/>
        <v>jun</v>
      </c>
      <c r="O113" s="3">
        <v>6</v>
      </c>
    </row>
    <row r="114" spans="3:15" ht="43.2" x14ac:dyDescent="0.3">
      <c r="C114" s="3">
        <v>113</v>
      </c>
      <c r="D114" s="4">
        <v>45826</v>
      </c>
      <c r="E114" s="5" t="s">
        <v>13</v>
      </c>
      <c r="F114" s="5" t="s">
        <v>17</v>
      </c>
      <c r="G114" s="5" t="s">
        <v>50</v>
      </c>
      <c r="H114" s="5" t="s">
        <v>16</v>
      </c>
      <c r="I114" s="3">
        <v>109</v>
      </c>
      <c r="J114" s="3">
        <v>2</v>
      </c>
      <c r="K114" s="3">
        <v>1</v>
      </c>
      <c r="L114" s="3" t="str">
        <f t="shared" si="4"/>
        <v>1º Semestre</v>
      </c>
      <c r="M114" s="3" t="str">
        <f t="shared" si="5"/>
        <v>T2</v>
      </c>
      <c r="N114" s="3" t="str">
        <f t="shared" si="3"/>
        <v>jun</v>
      </c>
      <c r="O114" s="3">
        <v>6</v>
      </c>
    </row>
    <row r="115" spans="3:15" ht="72" x14ac:dyDescent="0.3">
      <c r="C115" s="3">
        <v>114</v>
      </c>
      <c r="D115" s="4">
        <v>45828</v>
      </c>
      <c r="E115" s="5" t="s">
        <v>26</v>
      </c>
      <c r="F115" s="5" t="s">
        <v>27</v>
      </c>
      <c r="G115" s="5" t="s">
        <v>39</v>
      </c>
      <c r="H115" s="5" t="s">
        <v>16</v>
      </c>
      <c r="I115" s="3">
        <v>30</v>
      </c>
      <c r="J115" s="3">
        <v>1</v>
      </c>
      <c r="K115" s="3">
        <v>1</v>
      </c>
      <c r="L115" s="3" t="str">
        <f t="shared" si="4"/>
        <v>1º Semestre</v>
      </c>
      <c r="M115" s="3" t="str">
        <f t="shared" si="5"/>
        <v>T2</v>
      </c>
      <c r="N115" s="3" t="str">
        <f t="shared" si="3"/>
        <v>jun</v>
      </c>
      <c r="O115" s="3">
        <v>6</v>
      </c>
    </row>
    <row r="116" spans="3:15" ht="28.8" x14ac:dyDescent="0.3">
      <c r="C116" s="3">
        <v>115</v>
      </c>
      <c r="D116" s="4">
        <v>45831</v>
      </c>
      <c r="E116" s="5" t="s">
        <v>19</v>
      </c>
      <c r="F116" s="5" t="s">
        <v>20</v>
      </c>
      <c r="G116" s="5" t="s">
        <v>21</v>
      </c>
      <c r="H116" s="5" t="s">
        <v>22</v>
      </c>
      <c r="I116" s="3">
        <v>80</v>
      </c>
      <c r="J116" s="3">
        <v>5</v>
      </c>
      <c r="K116" s="3">
        <v>1</v>
      </c>
      <c r="L116" s="3" t="str">
        <f t="shared" si="4"/>
        <v>1º Semestre</v>
      </c>
      <c r="M116" s="3" t="str">
        <f t="shared" si="5"/>
        <v>T2</v>
      </c>
      <c r="N116" s="3" t="str">
        <f t="shared" si="3"/>
        <v>jun</v>
      </c>
      <c r="O116" s="3">
        <v>6</v>
      </c>
    </row>
    <row r="117" spans="3:15" ht="57.6" x14ac:dyDescent="0.3">
      <c r="C117" s="3">
        <v>116</v>
      </c>
      <c r="D117" s="4">
        <v>45832</v>
      </c>
      <c r="E117" s="5" t="s">
        <v>13</v>
      </c>
      <c r="F117" s="5" t="s">
        <v>14</v>
      </c>
      <c r="G117" s="5" t="s">
        <v>15</v>
      </c>
      <c r="H117" s="5" t="s">
        <v>16</v>
      </c>
      <c r="I117" s="3">
        <v>109</v>
      </c>
      <c r="J117" s="3">
        <v>2</v>
      </c>
      <c r="K117" s="3">
        <v>1</v>
      </c>
      <c r="L117" s="3" t="str">
        <f t="shared" si="4"/>
        <v>1º Semestre</v>
      </c>
      <c r="M117" s="3" t="str">
        <f t="shared" si="5"/>
        <v>T2</v>
      </c>
      <c r="N117" s="3" t="str">
        <f t="shared" si="3"/>
        <v>jun</v>
      </c>
      <c r="O117" s="3">
        <v>6</v>
      </c>
    </row>
    <row r="118" spans="3:15" ht="28.8" x14ac:dyDescent="0.3">
      <c r="C118" s="3">
        <v>117</v>
      </c>
      <c r="D118" s="4">
        <v>45833</v>
      </c>
      <c r="E118" s="5" t="s">
        <v>23</v>
      </c>
      <c r="F118" s="5" t="s">
        <v>24</v>
      </c>
      <c r="G118" s="5" t="s">
        <v>25</v>
      </c>
      <c r="H118" s="5" t="s">
        <v>22</v>
      </c>
      <c r="I118" s="3">
        <v>50</v>
      </c>
      <c r="J118" s="3">
        <v>4</v>
      </c>
      <c r="K118" s="3">
        <v>2</v>
      </c>
      <c r="L118" s="3" t="str">
        <f t="shared" si="4"/>
        <v>1º Semestre</v>
      </c>
      <c r="M118" s="3" t="str">
        <f t="shared" si="5"/>
        <v>T2</v>
      </c>
      <c r="N118" s="3" t="str">
        <f t="shared" si="3"/>
        <v>jun</v>
      </c>
      <c r="O118" s="3">
        <v>6</v>
      </c>
    </row>
    <row r="119" spans="3:15" ht="72" x14ac:dyDescent="0.3">
      <c r="C119" s="3">
        <v>118</v>
      </c>
      <c r="D119" s="4">
        <v>45834</v>
      </c>
      <c r="E119" s="5" t="s">
        <v>13</v>
      </c>
      <c r="F119" s="5" t="s">
        <v>34</v>
      </c>
      <c r="G119" s="5" t="s">
        <v>35</v>
      </c>
      <c r="H119" s="5" t="s">
        <v>36</v>
      </c>
      <c r="I119" s="3">
        <v>109</v>
      </c>
      <c r="J119" s="3">
        <v>1</v>
      </c>
      <c r="K119" s="3">
        <v>1</v>
      </c>
      <c r="L119" s="3" t="str">
        <f t="shared" si="4"/>
        <v>1º Semestre</v>
      </c>
      <c r="M119" s="3" t="str">
        <f t="shared" si="5"/>
        <v>T2</v>
      </c>
      <c r="N119" s="3" t="str">
        <f t="shared" si="3"/>
        <v>jun</v>
      </c>
      <c r="O119" s="3">
        <v>6</v>
      </c>
    </row>
    <row r="120" spans="3:15" ht="28.8" x14ac:dyDescent="0.3">
      <c r="C120" s="3">
        <v>119</v>
      </c>
      <c r="D120" s="4">
        <v>45835</v>
      </c>
      <c r="E120" s="5" t="s">
        <v>26</v>
      </c>
      <c r="F120" s="5" t="s">
        <v>14</v>
      </c>
      <c r="G120" s="5" t="s">
        <v>29</v>
      </c>
      <c r="H120" s="5" t="s">
        <v>16</v>
      </c>
      <c r="I120" s="3">
        <v>30</v>
      </c>
      <c r="J120" s="3">
        <v>2</v>
      </c>
      <c r="K120" s="3">
        <v>1</v>
      </c>
      <c r="L120" s="3" t="str">
        <f t="shared" si="4"/>
        <v>1º Semestre</v>
      </c>
      <c r="M120" s="3" t="str">
        <f t="shared" si="5"/>
        <v>T2</v>
      </c>
      <c r="N120" s="3" t="str">
        <f t="shared" si="3"/>
        <v>jun</v>
      </c>
      <c r="O120" s="3">
        <v>6</v>
      </c>
    </row>
    <row r="121" spans="3:15" ht="43.2" x14ac:dyDescent="0.3">
      <c r="C121" s="3">
        <v>120</v>
      </c>
      <c r="D121" s="4">
        <v>45838</v>
      </c>
      <c r="E121" s="5" t="s">
        <v>23</v>
      </c>
      <c r="F121" s="5" t="s">
        <v>20</v>
      </c>
      <c r="G121" s="5" t="s">
        <v>41</v>
      </c>
      <c r="H121" s="5" t="s">
        <v>33</v>
      </c>
      <c r="I121" s="3">
        <v>50</v>
      </c>
      <c r="J121" s="3">
        <v>5</v>
      </c>
      <c r="K121" s="3">
        <v>1</v>
      </c>
      <c r="L121" s="3" t="str">
        <f t="shared" si="4"/>
        <v>1º Semestre</v>
      </c>
      <c r="M121" s="3" t="str">
        <f t="shared" si="5"/>
        <v>T2</v>
      </c>
      <c r="N121" s="3" t="str">
        <f t="shared" si="3"/>
        <v>jun</v>
      </c>
      <c r="O121" s="3">
        <v>6</v>
      </c>
    </row>
    <row r="122" spans="3:15" ht="57.6" x14ac:dyDescent="0.3">
      <c r="C122" s="3">
        <v>121</v>
      </c>
      <c r="D122" s="4">
        <v>45840</v>
      </c>
      <c r="E122" s="5" t="s">
        <v>13</v>
      </c>
      <c r="F122" s="5" t="s">
        <v>14</v>
      </c>
      <c r="G122" s="5" t="s">
        <v>15</v>
      </c>
      <c r="H122" s="5" t="s">
        <v>16</v>
      </c>
      <c r="I122" s="3">
        <v>109</v>
      </c>
      <c r="J122" s="3">
        <v>2</v>
      </c>
      <c r="K122" s="3">
        <v>1</v>
      </c>
      <c r="L122" s="3" t="str">
        <f t="shared" si="4"/>
        <v>2º Semestre</v>
      </c>
      <c r="M122" s="3" t="str">
        <f t="shared" si="5"/>
        <v>T3</v>
      </c>
      <c r="N122" s="3" t="str">
        <f t="shared" si="3"/>
        <v>jul</v>
      </c>
      <c r="O122" s="3">
        <v>7</v>
      </c>
    </row>
    <row r="123" spans="3:15" ht="28.8" x14ac:dyDescent="0.3">
      <c r="C123" s="3">
        <v>122</v>
      </c>
      <c r="D123" s="4">
        <v>45841</v>
      </c>
      <c r="E123" s="5" t="s">
        <v>19</v>
      </c>
      <c r="F123" s="5" t="s">
        <v>20</v>
      </c>
      <c r="G123" s="5" t="s">
        <v>21</v>
      </c>
      <c r="H123" s="5" t="s">
        <v>22</v>
      </c>
      <c r="I123" s="3">
        <v>80</v>
      </c>
      <c r="J123" s="3">
        <v>5</v>
      </c>
      <c r="K123" s="3">
        <v>1</v>
      </c>
      <c r="L123" s="3" t="str">
        <f t="shared" si="4"/>
        <v>2º Semestre</v>
      </c>
      <c r="M123" s="3" t="str">
        <f t="shared" si="5"/>
        <v>T3</v>
      </c>
      <c r="N123" s="3" t="str">
        <f t="shared" si="3"/>
        <v>jul</v>
      </c>
      <c r="O123" s="3">
        <v>7</v>
      </c>
    </row>
    <row r="124" spans="3:15" ht="28.8" x14ac:dyDescent="0.3">
      <c r="C124" s="3">
        <v>123</v>
      </c>
      <c r="D124" s="4">
        <v>45842</v>
      </c>
      <c r="E124" s="5" t="s">
        <v>23</v>
      </c>
      <c r="F124" s="5" t="s">
        <v>24</v>
      </c>
      <c r="G124" s="5" t="s">
        <v>25</v>
      </c>
      <c r="H124" s="5" t="s">
        <v>22</v>
      </c>
      <c r="I124" s="3">
        <v>40</v>
      </c>
      <c r="J124" s="3">
        <v>4</v>
      </c>
      <c r="K124" s="3">
        <v>2</v>
      </c>
      <c r="L124" s="3" t="str">
        <f t="shared" si="4"/>
        <v>2º Semestre</v>
      </c>
      <c r="M124" s="3" t="str">
        <f t="shared" si="5"/>
        <v>T3</v>
      </c>
      <c r="N124" s="3" t="str">
        <f t="shared" si="3"/>
        <v>jul</v>
      </c>
      <c r="O124" s="3">
        <v>7</v>
      </c>
    </row>
    <row r="125" spans="3:15" ht="28.8" x14ac:dyDescent="0.3">
      <c r="C125" s="3">
        <v>124</v>
      </c>
      <c r="D125" s="4">
        <v>45845</v>
      </c>
      <c r="E125" s="5" t="s">
        <v>26</v>
      </c>
      <c r="F125" s="5" t="s">
        <v>27</v>
      </c>
      <c r="G125" s="5" t="s">
        <v>28</v>
      </c>
      <c r="H125" s="5" t="s">
        <v>16</v>
      </c>
      <c r="I125" s="3">
        <v>15</v>
      </c>
      <c r="J125" s="3">
        <v>1</v>
      </c>
      <c r="K125" s="3">
        <v>1</v>
      </c>
      <c r="L125" s="3" t="str">
        <f t="shared" si="4"/>
        <v>2º Semestre</v>
      </c>
      <c r="M125" s="3" t="str">
        <f t="shared" si="5"/>
        <v>T3</v>
      </c>
      <c r="N125" s="3" t="str">
        <f t="shared" si="3"/>
        <v>jul</v>
      </c>
      <c r="O125" s="3">
        <v>7</v>
      </c>
    </row>
    <row r="126" spans="3:15" ht="57.6" x14ac:dyDescent="0.3">
      <c r="C126" s="3">
        <v>125</v>
      </c>
      <c r="D126" s="4">
        <v>45846</v>
      </c>
      <c r="E126" s="5" t="s">
        <v>30</v>
      </c>
      <c r="F126" s="5" t="s">
        <v>31</v>
      </c>
      <c r="G126" s="5" t="s">
        <v>32</v>
      </c>
      <c r="H126" s="5" t="s">
        <v>33</v>
      </c>
      <c r="I126" s="3">
        <v>20</v>
      </c>
      <c r="J126" s="3">
        <v>7</v>
      </c>
      <c r="K126" s="3">
        <v>3</v>
      </c>
      <c r="L126" s="3" t="str">
        <f t="shared" si="4"/>
        <v>2º Semestre</v>
      </c>
      <c r="M126" s="3" t="str">
        <f t="shared" si="5"/>
        <v>T3</v>
      </c>
      <c r="N126" s="3" t="str">
        <f t="shared" si="3"/>
        <v>jul</v>
      </c>
      <c r="O126" s="3">
        <v>7</v>
      </c>
    </row>
    <row r="127" spans="3:15" ht="43.2" x14ac:dyDescent="0.3">
      <c r="C127" s="3">
        <v>126</v>
      </c>
      <c r="D127" s="4">
        <v>45847</v>
      </c>
      <c r="E127" s="5" t="s">
        <v>13</v>
      </c>
      <c r="F127" s="5" t="s">
        <v>17</v>
      </c>
      <c r="G127" s="5" t="s">
        <v>18</v>
      </c>
      <c r="H127" s="5" t="s">
        <v>16</v>
      </c>
      <c r="I127" s="3">
        <v>110</v>
      </c>
      <c r="J127" s="3">
        <v>2</v>
      </c>
      <c r="K127" s="3">
        <v>1</v>
      </c>
      <c r="L127" s="3" t="str">
        <f t="shared" si="4"/>
        <v>2º Semestre</v>
      </c>
      <c r="M127" s="3" t="str">
        <f t="shared" si="5"/>
        <v>T3</v>
      </c>
      <c r="N127" s="3" t="str">
        <f t="shared" si="3"/>
        <v>jul</v>
      </c>
      <c r="O127" s="3">
        <v>7</v>
      </c>
    </row>
    <row r="128" spans="3:15" ht="57.6" x14ac:dyDescent="0.3">
      <c r="C128" s="3">
        <v>127</v>
      </c>
      <c r="D128" s="4">
        <v>45848</v>
      </c>
      <c r="E128" s="5" t="s">
        <v>13</v>
      </c>
      <c r="F128" s="5" t="s">
        <v>37</v>
      </c>
      <c r="G128" s="5" t="s">
        <v>38</v>
      </c>
      <c r="H128" s="5" t="s">
        <v>22</v>
      </c>
      <c r="I128" s="3">
        <v>100</v>
      </c>
      <c r="J128" s="3">
        <v>2</v>
      </c>
      <c r="K128" s="3">
        <v>1</v>
      </c>
      <c r="L128" s="3" t="str">
        <f t="shared" si="4"/>
        <v>2º Semestre</v>
      </c>
      <c r="M128" s="3" t="str">
        <f t="shared" si="5"/>
        <v>T3</v>
      </c>
      <c r="N128" s="3" t="str">
        <f t="shared" si="3"/>
        <v>jul</v>
      </c>
      <c r="O128" s="3">
        <v>7</v>
      </c>
    </row>
    <row r="129" spans="3:15" ht="28.8" x14ac:dyDescent="0.3">
      <c r="C129" s="3">
        <v>128</v>
      </c>
      <c r="D129" s="4">
        <v>45849</v>
      </c>
      <c r="E129" s="5" t="s">
        <v>26</v>
      </c>
      <c r="F129" s="5" t="s">
        <v>14</v>
      </c>
      <c r="G129" s="5" t="s">
        <v>29</v>
      </c>
      <c r="H129" s="5" t="s">
        <v>16</v>
      </c>
      <c r="I129" s="3">
        <v>15</v>
      </c>
      <c r="J129" s="3">
        <v>2</v>
      </c>
      <c r="K129" s="3">
        <v>1</v>
      </c>
      <c r="L129" s="3" t="str">
        <f t="shared" si="4"/>
        <v>2º Semestre</v>
      </c>
      <c r="M129" s="3" t="str">
        <f t="shared" si="5"/>
        <v>T3</v>
      </c>
      <c r="N129" s="3" t="str">
        <f t="shared" si="3"/>
        <v>jul</v>
      </c>
      <c r="O129" s="3">
        <v>7</v>
      </c>
    </row>
    <row r="130" spans="3:15" ht="43.2" x14ac:dyDescent="0.3">
      <c r="C130" s="3">
        <v>129</v>
      </c>
      <c r="D130" s="4">
        <v>45852</v>
      </c>
      <c r="E130" s="5" t="s">
        <v>23</v>
      </c>
      <c r="F130" s="5" t="s">
        <v>20</v>
      </c>
      <c r="G130" s="5" t="s">
        <v>41</v>
      </c>
      <c r="H130" s="5" t="s">
        <v>33</v>
      </c>
      <c r="I130" s="3">
        <v>40</v>
      </c>
      <c r="J130" s="3">
        <v>5</v>
      </c>
      <c r="K130" s="3">
        <v>1</v>
      </c>
      <c r="L130" s="3" t="str">
        <f t="shared" si="4"/>
        <v>2º Semestre</v>
      </c>
      <c r="M130" s="3" t="str">
        <f t="shared" si="5"/>
        <v>T3</v>
      </c>
      <c r="N130" s="3" t="str">
        <f t="shared" ref="N130:N193" si="6">TEXT(D130,"MMM")</f>
        <v>jul</v>
      </c>
      <c r="O130" s="3">
        <v>7</v>
      </c>
    </row>
    <row r="131" spans="3:15" ht="43.2" x14ac:dyDescent="0.3">
      <c r="C131" s="3">
        <v>130</v>
      </c>
      <c r="D131" s="4">
        <v>45853</v>
      </c>
      <c r="E131" s="5" t="s">
        <v>13</v>
      </c>
      <c r="F131" s="5" t="s">
        <v>43</v>
      </c>
      <c r="G131" s="5" t="s">
        <v>44</v>
      </c>
      <c r="H131" s="5" t="s">
        <v>22</v>
      </c>
      <c r="I131" s="3">
        <v>110</v>
      </c>
      <c r="J131" s="3">
        <v>3</v>
      </c>
      <c r="K131" s="3">
        <v>2</v>
      </c>
      <c r="L131" s="3" t="str">
        <f t="shared" ref="L131:L194" si="7">IF(MONTH(N131 &amp; " 1")&lt;=6, "1º Semestre", "2º Semestre")</f>
        <v>2º Semestre</v>
      </c>
      <c r="M131" s="3" t="str">
        <f t="shared" ref="M131:M194" si="8">"T"&amp;ROUNDUP(VALUE(O131)/3,0)</f>
        <v>T3</v>
      </c>
      <c r="N131" s="3" t="str">
        <f t="shared" si="6"/>
        <v>jul</v>
      </c>
      <c r="O131" s="3">
        <v>7</v>
      </c>
    </row>
    <row r="132" spans="3:15" ht="28.8" x14ac:dyDescent="0.3">
      <c r="C132" s="3">
        <v>131</v>
      </c>
      <c r="D132" s="4">
        <v>45854</v>
      </c>
      <c r="E132" s="5" t="s">
        <v>19</v>
      </c>
      <c r="F132" s="5" t="s">
        <v>24</v>
      </c>
      <c r="G132" s="5" t="s">
        <v>46</v>
      </c>
      <c r="H132" s="5" t="s">
        <v>22</v>
      </c>
      <c r="I132" s="3">
        <v>90</v>
      </c>
      <c r="J132" s="3">
        <v>3</v>
      </c>
      <c r="K132" s="3">
        <v>2</v>
      </c>
      <c r="L132" s="3" t="str">
        <f t="shared" si="7"/>
        <v>2º Semestre</v>
      </c>
      <c r="M132" s="3" t="str">
        <f t="shared" si="8"/>
        <v>T3</v>
      </c>
      <c r="N132" s="3" t="str">
        <f t="shared" si="6"/>
        <v>jul</v>
      </c>
      <c r="O132" s="3">
        <v>7</v>
      </c>
    </row>
    <row r="133" spans="3:15" ht="43.2" x14ac:dyDescent="0.3">
      <c r="C133" s="3">
        <v>132</v>
      </c>
      <c r="D133" s="4">
        <v>45855</v>
      </c>
      <c r="E133" s="5" t="s">
        <v>30</v>
      </c>
      <c r="F133" s="5" t="s">
        <v>17</v>
      </c>
      <c r="G133" s="5" t="s">
        <v>50</v>
      </c>
      <c r="H133" s="5" t="s">
        <v>16</v>
      </c>
      <c r="I133" s="3">
        <v>20</v>
      </c>
      <c r="J133" s="3">
        <v>5</v>
      </c>
      <c r="K133" s="3">
        <v>2</v>
      </c>
      <c r="L133" s="3" t="str">
        <f t="shared" si="7"/>
        <v>2º Semestre</v>
      </c>
      <c r="M133" s="3" t="str">
        <f t="shared" si="8"/>
        <v>T3</v>
      </c>
      <c r="N133" s="3" t="str">
        <f t="shared" si="6"/>
        <v>jul</v>
      </c>
      <c r="O133" s="3">
        <v>7</v>
      </c>
    </row>
    <row r="134" spans="3:15" ht="57.6" x14ac:dyDescent="0.3">
      <c r="C134" s="3">
        <v>133</v>
      </c>
      <c r="D134" s="4">
        <v>45859</v>
      </c>
      <c r="E134" s="5" t="s">
        <v>13</v>
      </c>
      <c r="F134" s="5" t="s">
        <v>14</v>
      </c>
      <c r="G134" s="5" t="s">
        <v>15</v>
      </c>
      <c r="H134" s="5" t="s">
        <v>16</v>
      </c>
      <c r="I134" s="3">
        <v>110</v>
      </c>
      <c r="J134" s="3">
        <v>2</v>
      </c>
      <c r="K134" s="3">
        <v>1</v>
      </c>
      <c r="L134" s="3" t="str">
        <f t="shared" si="7"/>
        <v>2º Semestre</v>
      </c>
      <c r="M134" s="3" t="str">
        <f t="shared" si="8"/>
        <v>T3</v>
      </c>
      <c r="N134" s="3" t="str">
        <f t="shared" si="6"/>
        <v>jul</v>
      </c>
      <c r="O134" s="3">
        <v>7</v>
      </c>
    </row>
    <row r="135" spans="3:15" ht="72" x14ac:dyDescent="0.3">
      <c r="C135" s="3">
        <v>134</v>
      </c>
      <c r="D135" s="4">
        <v>45860</v>
      </c>
      <c r="E135" s="5" t="s">
        <v>26</v>
      </c>
      <c r="F135" s="5" t="s">
        <v>27</v>
      </c>
      <c r="G135" s="5" t="s">
        <v>39</v>
      </c>
      <c r="H135" s="5" t="s">
        <v>16</v>
      </c>
      <c r="I135" s="3">
        <v>15</v>
      </c>
      <c r="J135" s="3">
        <v>1</v>
      </c>
      <c r="K135" s="3">
        <v>1</v>
      </c>
      <c r="L135" s="3" t="str">
        <f t="shared" si="7"/>
        <v>2º Semestre</v>
      </c>
      <c r="M135" s="3" t="str">
        <f t="shared" si="8"/>
        <v>T3</v>
      </c>
      <c r="N135" s="3" t="str">
        <f t="shared" si="6"/>
        <v>jul</v>
      </c>
      <c r="O135" s="3">
        <v>7</v>
      </c>
    </row>
    <row r="136" spans="3:15" ht="28.8" x14ac:dyDescent="0.3">
      <c r="C136" s="3">
        <v>135</v>
      </c>
      <c r="D136" s="4">
        <v>45861</v>
      </c>
      <c r="E136" s="5" t="s">
        <v>19</v>
      </c>
      <c r="F136" s="5" t="s">
        <v>20</v>
      </c>
      <c r="G136" s="5" t="s">
        <v>21</v>
      </c>
      <c r="H136" s="5" t="s">
        <v>22</v>
      </c>
      <c r="I136" s="3">
        <v>80</v>
      </c>
      <c r="J136" s="3">
        <v>5</v>
      </c>
      <c r="K136" s="3">
        <v>1</v>
      </c>
      <c r="L136" s="3" t="str">
        <f t="shared" si="7"/>
        <v>2º Semestre</v>
      </c>
      <c r="M136" s="3" t="str">
        <f t="shared" si="8"/>
        <v>T3</v>
      </c>
      <c r="N136" s="3" t="str">
        <f t="shared" si="6"/>
        <v>jul</v>
      </c>
      <c r="O136" s="3">
        <v>7</v>
      </c>
    </row>
    <row r="137" spans="3:15" ht="57.6" x14ac:dyDescent="0.3">
      <c r="C137" s="3">
        <v>136</v>
      </c>
      <c r="D137" s="4">
        <v>45862</v>
      </c>
      <c r="E137" s="5" t="s">
        <v>30</v>
      </c>
      <c r="F137" s="5" t="s">
        <v>31</v>
      </c>
      <c r="G137" s="5" t="s">
        <v>32</v>
      </c>
      <c r="H137" s="5" t="s">
        <v>33</v>
      </c>
      <c r="I137" s="3">
        <v>20</v>
      </c>
      <c r="J137" s="3">
        <v>8</v>
      </c>
      <c r="K137" s="3">
        <v>0</v>
      </c>
      <c r="L137" s="3" t="str">
        <f t="shared" si="7"/>
        <v>2º Semestre</v>
      </c>
      <c r="M137" s="3" t="str">
        <f t="shared" si="8"/>
        <v>T3</v>
      </c>
      <c r="N137" s="3" t="str">
        <f t="shared" si="6"/>
        <v>jul</v>
      </c>
      <c r="O137" s="3">
        <v>7</v>
      </c>
    </row>
    <row r="138" spans="3:15" ht="72" x14ac:dyDescent="0.3">
      <c r="C138" s="3">
        <v>137</v>
      </c>
      <c r="D138" s="4">
        <v>45863</v>
      </c>
      <c r="E138" s="5" t="s">
        <v>13</v>
      </c>
      <c r="F138" s="5" t="s">
        <v>34</v>
      </c>
      <c r="G138" s="5" t="s">
        <v>35</v>
      </c>
      <c r="H138" s="5" t="s">
        <v>36</v>
      </c>
      <c r="I138" s="3">
        <v>109</v>
      </c>
      <c r="J138" s="3">
        <v>1</v>
      </c>
      <c r="K138" s="3">
        <v>1</v>
      </c>
      <c r="L138" s="3" t="str">
        <f t="shared" si="7"/>
        <v>2º Semestre</v>
      </c>
      <c r="M138" s="3" t="str">
        <f t="shared" si="8"/>
        <v>T3</v>
      </c>
      <c r="N138" s="3" t="str">
        <f t="shared" si="6"/>
        <v>jul</v>
      </c>
      <c r="O138" s="3">
        <v>7</v>
      </c>
    </row>
    <row r="139" spans="3:15" ht="28.8" x14ac:dyDescent="0.3">
      <c r="C139" s="3">
        <v>138</v>
      </c>
      <c r="D139" s="4">
        <v>45866</v>
      </c>
      <c r="E139" s="5" t="s">
        <v>23</v>
      </c>
      <c r="F139" s="5" t="s">
        <v>24</v>
      </c>
      <c r="G139" s="5" t="s">
        <v>25</v>
      </c>
      <c r="H139" s="5" t="s">
        <v>22</v>
      </c>
      <c r="I139" s="3">
        <v>40</v>
      </c>
      <c r="J139" s="3">
        <v>4</v>
      </c>
      <c r="K139" s="3">
        <v>2</v>
      </c>
      <c r="L139" s="3" t="str">
        <f t="shared" si="7"/>
        <v>2º Semestre</v>
      </c>
      <c r="M139" s="3" t="str">
        <f t="shared" si="8"/>
        <v>T3</v>
      </c>
      <c r="N139" s="3" t="str">
        <f t="shared" si="6"/>
        <v>jul</v>
      </c>
      <c r="O139" s="3">
        <v>7</v>
      </c>
    </row>
    <row r="140" spans="3:15" ht="43.2" x14ac:dyDescent="0.3">
      <c r="C140" s="3">
        <v>139</v>
      </c>
      <c r="D140" s="4">
        <v>45867</v>
      </c>
      <c r="E140" s="5" t="s">
        <v>13</v>
      </c>
      <c r="F140" s="5" t="s">
        <v>17</v>
      </c>
      <c r="G140" s="5" t="s">
        <v>18</v>
      </c>
      <c r="H140" s="5" t="s">
        <v>16</v>
      </c>
      <c r="I140" s="3">
        <v>109</v>
      </c>
      <c r="J140" s="3">
        <v>2</v>
      </c>
      <c r="K140" s="3">
        <v>1</v>
      </c>
      <c r="L140" s="3" t="str">
        <f t="shared" si="7"/>
        <v>2º Semestre</v>
      </c>
      <c r="M140" s="3" t="str">
        <f t="shared" si="8"/>
        <v>T3</v>
      </c>
      <c r="N140" s="3" t="str">
        <f t="shared" si="6"/>
        <v>jul</v>
      </c>
      <c r="O140" s="3">
        <v>7</v>
      </c>
    </row>
    <row r="141" spans="3:15" ht="28.8" x14ac:dyDescent="0.3">
      <c r="C141" s="3">
        <v>140</v>
      </c>
      <c r="D141" s="4">
        <v>45868</v>
      </c>
      <c r="E141" s="5" t="s">
        <v>26</v>
      </c>
      <c r="F141" s="5" t="s">
        <v>14</v>
      </c>
      <c r="G141" s="5" t="s">
        <v>29</v>
      </c>
      <c r="H141" s="5" t="s">
        <v>16</v>
      </c>
      <c r="I141" s="3">
        <v>15</v>
      </c>
      <c r="J141" s="3">
        <v>2</v>
      </c>
      <c r="K141" s="3">
        <v>1</v>
      </c>
      <c r="L141" s="3" t="str">
        <f t="shared" si="7"/>
        <v>2º Semestre</v>
      </c>
      <c r="M141" s="3" t="str">
        <f t="shared" si="8"/>
        <v>T3</v>
      </c>
      <c r="N141" s="3" t="str">
        <f t="shared" si="6"/>
        <v>jul</v>
      </c>
      <c r="O141" s="3">
        <v>7</v>
      </c>
    </row>
    <row r="142" spans="3:15" ht="57.6" x14ac:dyDescent="0.3">
      <c r="C142" s="3">
        <v>141</v>
      </c>
      <c r="D142" s="4">
        <v>45870</v>
      </c>
      <c r="E142" s="5" t="s">
        <v>30</v>
      </c>
      <c r="F142" s="5" t="s">
        <v>31</v>
      </c>
      <c r="G142" s="5" t="s">
        <v>32</v>
      </c>
      <c r="H142" s="5" t="s">
        <v>33</v>
      </c>
      <c r="I142" s="3">
        <v>20</v>
      </c>
      <c r="J142" s="3">
        <v>9</v>
      </c>
      <c r="K142" s="3">
        <v>2</v>
      </c>
      <c r="L142" s="3" t="str">
        <f t="shared" si="7"/>
        <v>2º Semestre</v>
      </c>
      <c r="M142" s="3" t="str">
        <f t="shared" si="8"/>
        <v>T3</v>
      </c>
      <c r="N142" s="3" t="str">
        <f t="shared" si="6"/>
        <v>ago</v>
      </c>
      <c r="O142" s="3">
        <v>8</v>
      </c>
    </row>
    <row r="143" spans="3:15" ht="57.6" x14ac:dyDescent="0.3">
      <c r="C143" s="3">
        <v>142</v>
      </c>
      <c r="D143" s="4">
        <v>45873</v>
      </c>
      <c r="E143" s="5" t="s">
        <v>13</v>
      </c>
      <c r="F143" s="5" t="s">
        <v>14</v>
      </c>
      <c r="G143" s="5" t="s">
        <v>15</v>
      </c>
      <c r="H143" s="5" t="s">
        <v>16</v>
      </c>
      <c r="I143" s="3">
        <v>100</v>
      </c>
      <c r="J143" s="3">
        <v>2</v>
      </c>
      <c r="K143" s="3">
        <v>1</v>
      </c>
      <c r="L143" s="3" t="str">
        <f t="shared" si="7"/>
        <v>2º Semestre</v>
      </c>
      <c r="M143" s="3" t="str">
        <f t="shared" si="8"/>
        <v>T3</v>
      </c>
      <c r="N143" s="3" t="str">
        <f t="shared" si="6"/>
        <v>ago</v>
      </c>
      <c r="O143" s="3">
        <v>8</v>
      </c>
    </row>
    <row r="144" spans="3:15" ht="28.8" x14ac:dyDescent="0.3">
      <c r="C144" s="3">
        <v>143</v>
      </c>
      <c r="D144" s="4">
        <v>45874</v>
      </c>
      <c r="E144" s="5" t="s">
        <v>19</v>
      </c>
      <c r="F144" s="5" t="s">
        <v>20</v>
      </c>
      <c r="G144" s="5" t="s">
        <v>21</v>
      </c>
      <c r="H144" s="5" t="s">
        <v>22</v>
      </c>
      <c r="I144" s="3">
        <v>80</v>
      </c>
      <c r="J144" s="3">
        <v>4</v>
      </c>
      <c r="K144" s="3">
        <v>1</v>
      </c>
      <c r="L144" s="3" t="str">
        <f t="shared" si="7"/>
        <v>2º Semestre</v>
      </c>
      <c r="M144" s="3" t="str">
        <f t="shared" si="8"/>
        <v>T3</v>
      </c>
      <c r="N144" s="3" t="str">
        <f t="shared" si="6"/>
        <v>ago</v>
      </c>
      <c r="O144" s="3">
        <v>8</v>
      </c>
    </row>
    <row r="145" spans="3:15" ht="28.8" x14ac:dyDescent="0.3">
      <c r="C145" s="3">
        <v>144</v>
      </c>
      <c r="D145" s="4">
        <v>45875</v>
      </c>
      <c r="E145" s="5" t="s">
        <v>23</v>
      </c>
      <c r="F145" s="5" t="s">
        <v>24</v>
      </c>
      <c r="G145" s="5" t="s">
        <v>25</v>
      </c>
      <c r="H145" s="5" t="s">
        <v>22</v>
      </c>
      <c r="I145" s="3">
        <v>42</v>
      </c>
      <c r="J145" s="3">
        <v>4</v>
      </c>
      <c r="K145" s="3">
        <v>2</v>
      </c>
      <c r="L145" s="3" t="str">
        <f t="shared" si="7"/>
        <v>2º Semestre</v>
      </c>
      <c r="M145" s="3" t="str">
        <f t="shared" si="8"/>
        <v>T3</v>
      </c>
      <c r="N145" s="3" t="str">
        <f t="shared" si="6"/>
        <v>ago</v>
      </c>
      <c r="O145" s="3">
        <v>8</v>
      </c>
    </row>
    <row r="146" spans="3:15" ht="43.2" x14ac:dyDescent="0.3">
      <c r="C146" s="3">
        <v>145</v>
      </c>
      <c r="D146" s="4">
        <v>45876</v>
      </c>
      <c r="E146" s="5" t="s">
        <v>30</v>
      </c>
      <c r="F146" s="5" t="s">
        <v>17</v>
      </c>
      <c r="G146" s="5" t="s">
        <v>50</v>
      </c>
      <c r="H146" s="5" t="s">
        <v>16</v>
      </c>
      <c r="I146" s="3">
        <v>20</v>
      </c>
      <c r="J146" s="3">
        <v>6</v>
      </c>
      <c r="K146" s="3">
        <v>3</v>
      </c>
      <c r="L146" s="3" t="str">
        <f t="shared" si="7"/>
        <v>2º Semestre</v>
      </c>
      <c r="M146" s="3" t="str">
        <f t="shared" si="8"/>
        <v>T3</v>
      </c>
      <c r="N146" s="3" t="str">
        <f t="shared" si="6"/>
        <v>ago</v>
      </c>
      <c r="O146" s="3">
        <v>8</v>
      </c>
    </row>
    <row r="147" spans="3:15" ht="57.6" x14ac:dyDescent="0.3">
      <c r="C147" s="3">
        <v>146</v>
      </c>
      <c r="D147" s="4">
        <v>45877</v>
      </c>
      <c r="E147" s="5" t="s">
        <v>13</v>
      </c>
      <c r="F147" s="5" t="s">
        <v>37</v>
      </c>
      <c r="G147" s="5" t="s">
        <v>38</v>
      </c>
      <c r="H147" s="5" t="s">
        <v>22</v>
      </c>
      <c r="I147" s="3">
        <v>100</v>
      </c>
      <c r="J147" s="3">
        <v>2</v>
      </c>
      <c r="K147" s="3">
        <v>1</v>
      </c>
      <c r="L147" s="3" t="str">
        <f t="shared" si="7"/>
        <v>2º Semestre</v>
      </c>
      <c r="M147" s="3" t="str">
        <f t="shared" si="8"/>
        <v>T3</v>
      </c>
      <c r="N147" s="3" t="str">
        <f t="shared" si="6"/>
        <v>ago</v>
      </c>
      <c r="O147" s="3">
        <v>8</v>
      </c>
    </row>
    <row r="148" spans="3:15" ht="28.8" x14ac:dyDescent="0.3">
      <c r="C148" s="3">
        <v>147</v>
      </c>
      <c r="D148" s="4">
        <v>45880</v>
      </c>
      <c r="E148" s="5" t="s">
        <v>26</v>
      </c>
      <c r="F148" s="5" t="s">
        <v>27</v>
      </c>
      <c r="G148" s="5" t="s">
        <v>28</v>
      </c>
      <c r="H148" s="5" t="s">
        <v>16</v>
      </c>
      <c r="I148" s="3">
        <v>20</v>
      </c>
      <c r="J148" s="3">
        <v>1</v>
      </c>
      <c r="K148" s="3">
        <v>1</v>
      </c>
      <c r="L148" s="3" t="str">
        <f t="shared" si="7"/>
        <v>2º Semestre</v>
      </c>
      <c r="M148" s="3" t="str">
        <f t="shared" si="8"/>
        <v>T3</v>
      </c>
      <c r="N148" s="3" t="str">
        <f t="shared" si="6"/>
        <v>ago</v>
      </c>
      <c r="O148" s="3">
        <v>8</v>
      </c>
    </row>
    <row r="149" spans="3:15" ht="57.6" x14ac:dyDescent="0.3">
      <c r="C149" s="3">
        <v>148</v>
      </c>
      <c r="D149" s="4">
        <v>45881</v>
      </c>
      <c r="E149" s="5" t="s">
        <v>30</v>
      </c>
      <c r="F149" s="5" t="s">
        <v>31</v>
      </c>
      <c r="G149" s="5" t="s">
        <v>32</v>
      </c>
      <c r="H149" s="5" t="s">
        <v>33</v>
      </c>
      <c r="I149" s="3">
        <v>20</v>
      </c>
      <c r="J149" s="3">
        <v>10</v>
      </c>
      <c r="K149" s="3">
        <v>7</v>
      </c>
      <c r="L149" s="3" t="str">
        <f t="shared" si="7"/>
        <v>2º Semestre</v>
      </c>
      <c r="M149" s="3" t="str">
        <f t="shared" si="8"/>
        <v>T3</v>
      </c>
      <c r="N149" s="3" t="str">
        <f t="shared" si="6"/>
        <v>ago</v>
      </c>
      <c r="O149" s="3">
        <v>8</v>
      </c>
    </row>
    <row r="150" spans="3:15" ht="43.2" x14ac:dyDescent="0.3">
      <c r="C150" s="3">
        <v>149</v>
      </c>
      <c r="D150" s="4">
        <v>45882</v>
      </c>
      <c r="E150" s="5" t="s">
        <v>13</v>
      </c>
      <c r="F150" s="5" t="s">
        <v>43</v>
      </c>
      <c r="G150" s="5" t="s">
        <v>44</v>
      </c>
      <c r="H150" s="5" t="s">
        <v>22</v>
      </c>
      <c r="I150" s="3">
        <v>100</v>
      </c>
      <c r="J150" s="3">
        <v>3</v>
      </c>
      <c r="K150" s="3">
        <v>2</v>
      </c>
      <c r="L150" s="3" t="str">
        <f t="shared" si="7"/>
        <v>2º Semestre</v>
      </c>
      <c r="M150" s="3" t="str">
        <f t="shared" si="8"/>
        <v>T3</v>
      </c>
      <c r="N150" s="3" t="str">
        <f t="shared" si="6"/>
        <v>ago</v>
      </c>
      <c r="O150" s="3">
        <v>8</v>
      </c>
    </row>
    <row r="151" spans="3:15" ht="28.8" x14ac:dyDescent="0.3">
      <c r="C151" s="3">
        <v>150</v>
      </c>
      <c r="D151" s="4">
        <v>45883</v>
      </c>
      <c r="E151" s="5" t="s">
        <v>19</v>
      </c>
      <c r="F151" s="5" t="s">
        <v>24</v>
      </c>
      <c r="G151" s="5" t="s">
        <v>46</v>
      </c>
      <c r="H151" s="5" t="s">
        <v>22</v>
      </c>
      <c r="I151" s="3">
        <v>80</v>
      </c>
      <c r="J151" s="3">
        <v>3</v>
      </c>
      <c r="K151" s="3">
        <v>2</v>
      </c>
      <c r="L151" s="3" t="str">
        <f t="shared" si="7"/>
        <v>2º Semestre</v>
      </c>
      <c r="M151" s="3" t="str">
        <f t="shared" si="8"/>
        <v>T3</v>
      </c>
      <c r="N151" s="3" t="str">
        <f t="shared" si="6"/>
        <v>ago</v>
      </c>
      <c r="O151" s="3">
        <v>8</v>
      </c>
    </row>
    <row r="152" spans="3:15" ht="72" x14ac:dyDescent="0.3">
      <c r="C152" s="3">
        <v>151</v>
      </c>
      <c r="D152" s="4">
        <v>45884</v>
      </c>
      <c r="E152" s="5" t="s">
        <v>13</v>
      </c>
      <c r="F152" s="5" t="s">
        <v>34</v>
      </c>
      <c r="G152" s="5" t="s">
        <v>35</v>
      </c>
      <c r="H152" s="5" t="s">
        <v>36</v>
      </c>
      <c r="I152" s="3">
        <v>120</v>
      </c>
      <c r="J152" s="3">
        <v>1</v>
      </c>
      <c r="K152" s="3">
        <v>1</v>
      </c>
      <c r="L152" s="3" t="str">
        <f t="shared" si="7"/>
        <v>2º Semestre</v>
      </c>
      <c r="M152" s="3" t="str">
        <f t="shared" si="8"/>
        <v>T3</v>
      </c>
      <c r="N152" s="3" t="str">
        <f t="shared" si="6"/>
        <v>ago</v>
      </c>
      <c r="O152" s="3">
        <v>8</v>
      </c>
    </row>
    <row r="153" spans="3:15" ht="43.2" x14ac:dyDescent="0.3">
      <c r="C153" s="3">
        <v>152</v>
      </c>
      <c r="D153" s="4">
        <v>45887</v>
      </c>
      <c r="E153" s="5" t="s">
        <v>23</v>
      </c>
      <c r="F153" s="5" t="s">
        <v>20</v>
      </c>
      <c r="G153" s="5" t="s">
        <v>41</v>
      </c>
      <c r="H153" s="5" t="s">
        <v>33</v>
      </c>
      <c r="I153" s="3">
        <v>42</v>
      </c>
      <c r="J153" s="3">
        <v>5</v>
      </c>
      <c r="K153" s="3">
        <v>1</v>
      </c>
      <c r="L153" s="3" t="str">
        <f t="shared" si="7"/>
        <v>2º Semestre</v>
      </c>
      <c r="M153" s="3" t="str">
        <f t="shared" si="8"/>
        <v>T3</v>
      </c>
      <c r="N153" s="3" t="str">
        <f t="shared" si="6"/>
        <v>ago</v>
      </c>
      <c r="O153" s="3">
        <v>8</v>
      </c>
    </row>
    <row r="154" spans="3:15" ht="28.8" x14ac:dyDescent="0.3">
      <c r="C154" s="3">
        <v>153</v>
      </c>
      <c r="D154" s="4">
        <v>45888</v>
      </c>
      <c r="E154" s="5" t="s">
        <v>26</v>
      </c>
      <c r="F154" s="5" t="s">
        <v>14</v>
      </c>
      <c r="G154" s="5" t="s">
        <v>29</v>
      </c>
      <c r="H154" s="5" t="s">
        <v>16</v>
      </c>
      <c r="I154" s="3">
        <v>20</v>
      </c>
      <c r="J154" s="3">
        <v>2</v>
      </c>
      <c r="K154" s="3">
        <v>1</v>
      </c>
      <c r="L154" s="3" t="str">
        <f t="shared" si="7"/>
        <v>2º Semestre</v>
      </c>
      <c r="M154" s="3" t="str">
        <f t="shared" si="8"/>
        <v>T3</v>
      </c>
      <c r="N154" s="3" t="str">
        <f t="shared" si="6"/>
        <v>ago</v>
      </c>
      <c r="O154" s="3">
        <v>8</v>
      </c>
    </row>
    <row r="155" spans="3:15" ht="43.2" x14ac:dyDescent="0.3">
      <c r="C155" s="3">
        <v>154</v>
      </c>
      <c r="D155" s="4">
        <v>45889</v>
      </c>
      <c r="E155" s="5" t="s">
        <v>13</v>
      </c>
      <c r="F155" s="5" t="s">
        <v>17</v>
      </c>
      <c r="G155" s="5" t="s">
        <v>18</v>
      </c>
      <c r="H155" s="5" t="s">
        <v>16</v>
      </c>
      <c r="I155" s="3">
        <v>110</v>
      </c>
      <c r="J155" s="3">
        <v>2</v>
      </c>
      <c r="K155" s="3">
        <v>1</v>
      </c>
      <c r="L155" s="3" t="str">
        <f t="shared" si="7"/>
        <v>2º Semestre</v>
      </c>
      <c r="M155" s="3" t="str">
        <f t="shared" si="8"/>
        <v>T3</v>
      </c>
      <c r="N155" s="3" t="str">
        <f t="shared" si="6"/>
        <v>ago</v>
      </c>
      <c r="O155" s="3">
        <v>8</v>
      </c>
    </row>
    <row r="156" spans="3:15" ht="57.6" x14ac:dyDescent="0.3">
      <c r="C156" s="3">
        <v>155</v>
      </c>
      <c r="D156" s="4">
        <v>45890</v>
      </c>
      <c r="E156" s="5" t="s">
        <v>30</v>
      </c>
      <c r="F156" s="5" t="s">
        <v>31</v>
      </c>
      <c r="G156" s="5" t="s">
        <v>32</v>
      </c>
      <c r="H156" s="5" t="s">
        <v>33</v>
      </c>
      <c r="I156" s="3">
        <v>20</v>
      </c>
      <c r="J156" s="3">
        <v>9</v>
      </c>
      <c r="K156" s="3">
        <v>0</v>
      </c>
      <c r="L156" s="3" t="str">
        <f t="shared" si="7"/>
        <v>2º Semestre</v>
      </c>
      <c r="M156" s="3" t="str">
        <f t="shared" si="8"/>
        <v>T3</v>
      </c>
      <c r="N156" s="3" t="str">
        <f t="shared" si="6"/>
        <v>ago</v>
      </c>
      <c r="O156" s="3">
        <v>8</v>
      </c>
    </row>
    <row r="157" spans="3:15" ht="57.6" x14ac:dyDescent="0.3">
      <c r="C157" s="3">
        <v>156</v>
      </c>
      <c r="D157" s="4">
        <v>45891</v>
      </c>
      <c r="E157" s="5" t="s">
        <v>13</v>
      </c>
      <c r="F157" s="5" t="s">
        <v>14</v>
      </c>
      <c r="G157" s="5" t="s">
        <v>15</v>
      </c>
      <c r="H157" s="5" t="s">
        <v>16</v>
      </c>
      <c r="I157" s="3">
        <v>110</v>
      </c>
      <c r="J157" s="3">
        <v>2</v>
      </c>
      <c r="K157" s="3">
        <v>1</v>
      </c>
      <c r="L157" s="3" t="str">
        <f t="shared" si="7"/>
        <v>2º Semestre</v>
      </c>
      <c r="M157" s="3" t="str">
        <f t="shared" si="8"/>
        <v>T3</v>
      </c>
      <c r="N157" s="3" t="str">
        <f t="shared" si="6"/>
        <v>ago</v>
      </c>
      <c r="O157" s="3">
        <v>8</v>
      </c>
    </row>
    <row r="158" spans="3:15" ht="28.8" x14ac:dyDescent="0.3">
      <c r="C158" s="3">
        <v>157</v>
      </c>
      <c r="D158" s="4">
        <v>45894</v>
      </c>
      <c r="E158" s="5" t="s">
        <v>19</v>
      </c>
      <c r="F158" s="5" t="s">
        <v>20</v>
      </c>
      <c r="G158" s="5" t="s">
        <v>21</v>
      </c>
      <c r="H158" s="5" t="s">
        <v>22</v>
      </c>
      <c r="I158" s="3">
        <v>80</v>
      </c>
      <c r="J158" s="3">
        <v>4</v>
      </c>
      <c r="K158" s="3">
        <v>1</v>
      </c>
      <c r="L158" s="3" t="str">
        <f t="shared" si="7"/>
        <v>2º Semestre</v>
      </c>
      <c r="M158" s="3" t="str">
        <f t="shared" si="8"/>
        <v>T3</v>
      </c>
      <c r="N158" s="3" t="str">
        <f t="shared" si="6"/>
        <v>ago</v>
      </c>
      <c r="O158" s="3">
        <v>8</v>
      </c>
    </row>
    <row r="159" spans="3:15" ht="28.8" x14ac:dyDescent="0.3">
      <c r="C159" s="3">
        <v>158</v>
      </c>
      <c r="D159" s="4">
        <v>45895</v>
      </c>
      <c r="E159" s="5" t="s">
        <v>23</v>
      </c>
      <c r="F159" s="5" t="s">
        <v>24</v>
      </c>
      <c r="G159" s="5" t="s">
        <v>25</v>
      </c>
      <c r="H159" s="5" t="s">
        <v>22</v>
      </c>
      <c r="I159" s="3">
        <v>42</v>
      </c>
      <c r="J159" s="3">
        <v>3</v>
      </c>
      <c r="K159" s="3">
        <v>2</v>
      </c>
      <c r="L159" s="3" t="str">
        <f t="shared" si="7"/>
        <v>2º Semestre</v>
      </c>
      <c r="M159" s="3" t="str">
        <f t="shared" si="8"/>
        <v>T3</v>
      </c>
      <c r="N159" s="3" t="str">
        <f t="shared" si="6"/>
        <v>ago</v>
      </c>
      <c r="O159" s="3">
        <v>8</v>
      </c>
    </row>
    <row r="160" spans="3:15" ht="43.2" x14ac:dyDescent="0.3">
      <c r="C160" s="3">
        <v>159</v>
      </c>
      <c r="D160" s="4">
        <v>45896</v>
      </c>
      <c r="E160" s="5" t="s">
        <v>30</v>
      </c>
      <c r="F160" s="5" t="s">
        <v>17</v>
      </c>
      <c r="G160" s="5" t="s">
        <v>50</v>
      </c>
      <c r="H160" s="5" t="s">
        <v>16</v>
      </c>
      <c r="I160" s="3">
        <v>20</v>
      </c>
      <c r="J160" s="3">
        <v>5</v>
      </c>
      <c r="K160" s="3">
        <v>2</v>
      </c>
      <c r="L160" s="3" t="str">
        <f t="shared" si="7"/>
        <v>2º Semestre</v>
      </c>
      <c r="M160" s="3" t="str">
        <f t="shared" si="8"/>
        <v>T3</v>
      </c>
      <c r="N160" s="3" t="str">
        <f t="shared" si="6"/>
        <v>ago</v>
      </c>
      <c r="O160" s="3">
        <v>8</v>
      </c>
    </row>
    <row r="161" spans="3:15" ht="57.6" x14ac:dyDescent="0.3">
      <c r="C161" s="3">
        <v>160</v>
      </c>
      <c r="D161" s="4">
        <v>45898</v>
      </c>
      <c r="E161" s="5" t="s">
        <v>13</v>
      </c>
      <c r="F161" s="5" t="s">
        <v>37</v>
      </c>
      <c r="G161" s="5" t="s">
        <v>38</v>
      </c>
      <c r="H161" s="5" t="s">
        <v>22</v>
      </c>
      <c r="I161" s="3">
        <v>110</v>
      </c>
      <c r="J161" s="3">
        <v>2</v>
      </c>
      <c r="K161" s="3">
        <v>1</v>
      </c>
      <c r="L161" s="3" t="str">
        <f t="shared" si="7"/>
        <v>2º Semestre</v>
      </c>
      <c r="M161" s="3" t="str">
        <f t="shared" si="8"/>
        <v>T3</v>
      </c>
      <c r="N161" s="3" t="str">
        <f t="shared" si="6"/>
        <v>ago</v>
      </c>
      <c r="O161" s="3">
        <v>8</v>
      </c>
    </row>
    <row r="162" spans="3:15" ht="57.6" x14ac:dyDescent="0.3">
      <c r="C162" s="3">
        <v>161</v>
      </c>
      <c r="D162" s="4">
        <v>45901</v>
      </c>
      <c r="E162" s="5" t="s">
        <v>13</v>
      </c>
      <c r="F162" s="5" t="s">
        <v>14</v>
      </c>
      <c r="G162" s="5" t="s">
        <v>15</v>
      </c>
      <c r="H162" s="5" t="s">
        <v>16</v>
      </c>
      <c r="I162" s="3">
        <v>120</v>
      </c>
      <c r="J162" s="3">
        <v>2</v>
      </c>
      <c r="K162" s="3">
        <v>1</v>
      </c>
      <c r="L162" s="3" t="str">
        <f t="shared" si="7"/>
        <v>2º Semestre</v>
      </c>
      <c r="M162" s="3" t="str">
        <f t="shared" si="8"/>
        <v>T3</v>
      </c>
      <c r="N162" s="3" t="str">
        <f t="shared" si="6"/>
        <v>set</v>
      </c>
      <c r="O162" s="3">
        <v>9</v>
      </c>
    </row>
    <row r="163" spans="3:15" ht="28.8" x14ac:dyDescent="0.3">
      <c r="C163" s="3">
        <v>162</v>
      </c>
      <c r="D163" s="4">
        <v>45902</v>
      </c>
      <c r="E163" s="5" t="s">
        <v>19</v>
      </c>
      <c r="F163" s="5" t="s">
        <v>20</v>
      </c>
      <c r="G163" s="5" t="s">
        <v>21</v>
      </c>
      <c r="H163" s="5" t="s">
        <v>22</v>
      </c>
      <c r="I163" s="3">
        <v>80</v>
      </c>
      <c r="J163" s="3">
        <v>4</v>
      </c>
      <c r="K163" s="3">
        <v>1</v>
      </c>
      <c r="L163" s="3" t="str">
        <f t="shared" si="7"/>
        <v>2º Semestre</v>
      </c>
      <c r="M163" s="3" t="str">
        <f t="shared" si="8"/>
        <v>T3</v>
      </c>
      <c r="N163" s="3" t="str">
        <f t="shared" si="6"/>
        <v>set</v>
      </c>
      <c r="O163" s="3">
        <v>9</v>
      </c>
    </row>
    <row r="164" spans="3:15" ht="28.8" x14ac:dyDescent="0.3">
      <c r="C164" s="3">
        <v>163</v>
      </c>
      <c r="D164" s="4">
        <v>45903</v>
      </c>
      <c r="E164" s="5" t="s">
        <v>23</v>
      </c>
      <c r="F164" s="5" t="s">
        <v>24</v>
      </c>
      <c r="G164" s="5" t="s">
        <v>25</v>
      </c>
      <c r="H164" s="5" t="s">
        <v>22</v>
      </c>
      <c r="I164" s="3">
        <v>42</v>
      </c>
      <c r="J164" s="3">
        <v>3</v>
      </c>
      <c r="K164" s="3">
        <v>2</v>
      </c>
      <c r="L164" s="3" t="str">
        <f t="shared" si="7"/>
        <v>2º Semestre</v>
      </c>
      <c r="M164" s="3" t="str">
        <f t="shared" si="8"/>
        <v>T3</v>
      </c>
      <c r="N164" s="3" t="str">
        <f t="shared" si="6"/>
        <v>set</v>
      </c>
      <c r="O164" s="3">
        <v>9</v>
      </c>
    </row>
    <row r="165" spans="3:15" ht="28.8" x14ac:dyDescent="0.3">
      <c r="C165" s="3">
        <v>164</v>
      </c>
      <c r="D165" s="4">
        <v>45904</v>
      </c>
      <c r="E165" s="5" t="s">
        <v>26</v>
      </c>
      <c r="F165" s="5" t="s">
        <v>27</v>
      </c>
      <c r="G165" s="5" t="s">
        <v>28</v>
      </c>
      <c r="H165" s="5" t="s">
        <v>16</v>
      </c>
      <c r="I165" s="3">
        <v>20</v>
      </c>
      <c r="J165" s="3">
        <v>1</v>
      </c>
      <c r="K165" s="3">
        <v>1</v>
      </c>
      <c r="L165" s="3" t="str">
        <f t="shared" si="7"/>
        <v>2º Semestre</v>
      </c>
      <c r="M165" s="3" t="str">
        <f t="shared" si="8"/>
        <v>T3</v>
      </c>
      <c r="N165" s="3" t="str">
        <f t="shared" si="6"/>
        <v>set</v>
      </c>
      <c r="O165" s="3">
        <v>9</v>
      </c>
    </row>
    <row r="166" spans="3:15" ht="57.6" x14ac:dyDescent="0.3">
      <c r="C166" s="3">
        <v>165</v>
      </c>
      <c r="D166" s="4">
        <v>45905</v>
      </c>
      <c r="E166" s="5" t="s">
        <v>30</v>
      </c>
      <c r="F166" s="5" t="s">
        <v>31</v>
      </c>
      <c r="G166" s="5" t="s">
        <v>32</v>
      </c>
      <c r="H166" s="5" t="s">
        <v>33</v>
      </c>
      <c r="I166" s="3">
        <v>15</v>
      </c>
      <c r="J166" s="3">
        <v>8</v>
      </c>
      <c r="K166" s="3">
        <v>2</v>
      </c>
      <c r="L166" s="3" t="str">
        <f t="shared" si="7"/>
        <v>2º Semestre</v>
      </c>
      <c r="M166" s="3" t="str">
        <f t="shared" si="8"/>
        <v>T3</v>
      </c>
      <c r="N166" s="3" t="str">
        <f t="shared" si="6"/>
        <v>set</v>
      </c>
      <c r="O166" s="3">
        <v>9</v>
      </c>
    </row>
    <row r="167" spans="3:15" ht="43.2" x14ac:dyDescent="0.3">
      <c r="C167" s="3">
        <v>166</v>
      </c>
      <c r="D167" s="4">
        <v>45908</v>
      </c>
      <c r="E167" s="5" t="s">
        <v>13</v>
      </c>
      <c r="F167" s="5" t="s">
        <v>17</v>
      </c>
      <c r="G167" s="5" t="s">
        <v>18</v>
      </c>
      <c r="H167" s="5" t="s">
        <v>16</v>
      </c>
      <c r="I167" s="3">
        <v>109</v>
      </c>
      <c r="J167" s="3">
        <v>2</v>
      </c>
      <c r="K167" s="3">
        <v>1</v>
      </c>
      <c r="L167" s="3" t="str">
        <f t="shared" si="7"/>
        <v>2º Semestre</v>
      </c>
      <c r="M167" s="3" t="str">
        <f t="shared" si="8"/>
        <v>T3</v>
      </c>
      <c r="N167" s="3" t="str">
        <f t="shared" si="6"/>
        <v>set</v>
      </c>
      <c r="O167" s="3">
        <v>9</v>
      </c>
    </row>
    <row r="168" spans="3:15" ht="43.2" x14ac:dyDescent="0.3">
      <c r="C168" s="3">
        <v>167</v>
      </c>
      <c r="D168" s="4">
        <v>45909</v>
      </c>
      <c r="E168" s="5" t="s">
        <v>13</v>
      </c>
      <c r="F168" s="5" t="s">
        <v>43</v>
      </c>
      <c r="G168" s="5" t="s">
        <v>44</v>
      </c>
      <c r="H168" s="5" t="s">
        <v>22</v>
      </c>
      <c r="I168" s="3">
        <v>109</v>
      </c>
      <c r="J168" s="3">
        <v>3</v>
      </c>
      <c r="K168" s="3">
        <v>2</v>
      </c>
      <c r="L168" s="3" t="str">
        <f t="shared" si="7"/>
        <v>2º Semestre</v>
      </c>
      <c r="M168" s="3" t="str">
        <f t="shared" si="8"/>
        <v>T3</v>
      </c>
      <c r="N168" s="3" t="str">
        <f t="shared" si="6"/>
        <v>set</v>
      </c>
      <c r="O168" s="3">
        <v>9</v>
      </c>
    </row>
    <row r="169" spans="3:15" ht="28.8" x14ac:dyDescent="0.3">
      <c r="C169" s="3">
        <v>168</v>
      </c>
      <c r="D169" s="4">
        <v>45910</v>
      </c>
      <c r="E169" s="5" t="s">
        <v>26</v>
      </c>
      <c r="F169" s="5" t="s">
        <v>14</v>
      </c>
      <c r="G169" s="5" t="s">
        <v>29</v>
      </c>
      <c r="H169" s="5" t="s">
        <v>16</v>
      </c>
      <c r="I169" s="3">
        <v>26</v>
      </c>
      <c r="J169" s="3">
        <v>2</v>
      </c>
      <c r="K169" s="3">
        <v>1</v>
      </c>
      <c r="L169" s="3" t="str">
        <f t="shared" si="7"/>
        <v>2º Semestre</v>
      </c>
      <c r="M169" s="3" t="str">
        <f t="shared" si="8"/>
        <v>T3</v>
      </c>
      <c r="N169" s="3" t="str">
        <f t="shared" si="6"/>
        <v>set</v>
      </c>
      <c r="O169" s="3">
        <v>9</v>
      </c>
    </row>
    <row r="170" spans="3:15" ht="43.2" x14ac:dyDescent="0.3">
      <c r="C170" s="3">
        <v>169</v>
      </c>
      <c r="D170" s="4">
        <v>45911</v>
      </c>
      <c r="E170" s="5" t="s">
        <v>23</v>
      </c>
      <c r="F170" s="5" t="s">
        <v>20</v>
      </c>
      <c r="G170" s="5" t="s">
        <v>41</v>
      </c>
      <c r="H170" s="5" t="s">
        <v>33</v>
      </c>
      <c r="I170" s="3">
        <v>42</v>
      </c>
      <c r="J170" s="3">
        <v>4</v>
      </c>
      <c r="K170" s="3">
        <v>1</v>
      </c>
      <c r="L170" s="3" t="str">
        <f t="shared" si="7"/>
        <v>2º Semestre</v>
      </c>
      <c r="M170" s="3" t="str">
        <f t="shared" si="8"/>
        <v>T3</v>
      </c>
      <c r="N170" s="3" t="str">
        <f t="shared" si="6"/>
        <v>set</v>
      </c>
      <c r="O170" s="3">
        <v>9</v>
      </c>
    </row>
    <row r="171" spans="3:15" ht="43.2" x14ac:dyDescent="0.3">
      <c r="C171" s="3">
        <v>170</v>
      </c>
      <c r="D171" s="4">
        <v>45912</v>
      </c>
      <c r="E171" s="5" t="s">
        <v>30</v>
      </c>
      <c r="F171" s="5" t="s">
        <v>17</v>
      </c>
      <c r="G171" s="5" t="s">
        <v>50</v>
      </c>
      <c r="H171" s="5" t="s">
        <v>16</v>
      </c>
      <c r="I171" s="3">
        <v>15</v>
      </c>
      <c r="J171" s="3">
        <v>5</v>
      </c>
      <c r="K171" s="3">
        <v>5</v>
      </c>
      <c r="L171" s="3" t="str">
        <f t="shared" si="7"/>
        <v>2º Semestre</v>
      </c>
      <c r="M171" s="3" t="str">
        <f t="shared" si="8"/>
        <v>T3</v>
      </c>
      <c r="N171" s="3" t="str">
        <f t="shared" si="6"/>
        <v>set</v>
      </c>
      <c r="O171" s="3">
        <v>9</v>
      </c>
    </row>
    <row r="172" spans="3:15" ht="28.8" x14ac:dyDescent="0.3">
      <c r="C172" s="3">
        <v>171</v>
      </c>
      <c r="D172" s="4">
        <v>45915</v>
      </c>
      <c r="E172" s="5" t="s">
        <v>19</v>
      </c>
      <c r="F172" s="5" t="s">
        <v>24</v>
      </c>
      <c r="G172" s="5" t="s">
        <v>46</v>
      </c>
      <c r="H172" s="5" t="s">
        <v>22</v>
      </c>
      <c r="I172" s="3">
        <v>80</v>
      </c>
      <c r="J172" s="3">
        <v>3</v>
      </c>
      <c r="K172" s="3">
        <v>2</v>
      </c>
      <c r="L172" s="3" t="str">
        <f t="shared" si="7"/>
        <v>2º Semestre</v>
      </c>
      <c r="M172" s="3" t="str">
        <f t="shared" si="8"/>
        <v>T3</v>
      </c>
      <c r="N172" s="3" t="str">
        <f t="shared" si="6"/>
        <v>set</v>
      </c>
      <c r="O172" s="3">
        <v>9</v>
      </c>
    </row>
    <row r="173" spans="3:15" ht="57.6" x14ac:dyDescent="0.3">
      <c r="C173" s="3">
        <v>172</v>
      </c>
      <c r="D173" s="4">
        <v>45916</v>
      </c>
      <c r="E173" s="5" t="s">
        <v>13</v>
      </c>
      <c r="F173" s="5" t="s">
        <v>37</v>
      </c>
      <c r="G173" s="5" t="s">
        <v>38</v>
      </c>
      <c r="H173" s="5" t="s">
        <v>22</v>
      </c>
      <c r="I173" s="3">
        <v>110</v>
      </c>
      <c r="J173" s="3">
        <v>2</v>
      </c>
      <c r="K173" s="3">
        <v>1</v>
      </c>
      <c r="L173" s="3" t="str">
        <f t="shared" si="7"/>
        <v>2º Semestre</v>
      </c>
      <c r="M173" s="3" t="str">
        <f t="shared" si="8"/>
        <v>T3</v>
      </c>
      <c r="N173" s="3" t="str">
        <f t="shared" si="6"/>
        <v>set</v>
      </c>
      <c r="O173" s="3">
        <v>9</v>
      </c>
    </row>
    <row r="174" spans="3:15" ht="57.6" x14ac:dyDescent="0.3">
      <c r="C174" s="3">
        <v>173</v>
      </c>
      <c r="D174" s="4">
        <v>45917</v>
      </c>
      <c r="E174" s="5" t="s">
        <v>30</v>
      </c>
      <c r="F174" s="5" t="s">
        <v>31</v>
      </c>
      <c r="G174" s="5" t="s">
        <v>32</v>
      </c>
      <c r="H174" s="5" t="s">
        <v>33</v>
      </c>
      <c r="I174" s="3">
        <v>15</v>
      </c>
      <c r="J174" s="3">
        <v>7</v>
      </c>
      <c r="K174" s="3">
        <v>0</v>
      </c>
      <c r="L174" s="3" t="str">
        <f t="shared" si="7"/>
        <v>2º Semestre</v>
      </c>
      <c r="M174" s="3" t="str">
        <f t="shared" si="8"/>
        <v>T3</v>
      </c>
      <c r="N174" s="3" t="str">
        <f t="shared" si="6"/>
        <v>set</v>
      </c>
      <c r="O174" s="3">
        <v>9</v>
      </c>
    </row>
    <row r="175" spans="3:15" ht="57.6" x14ac:dyDescent="0.3">
      <c r="C175" s="3">
        <v>174</v>
      </c>
      <c r="D175" s="4">
        <v>45918</v>
      </c>
      <c r="E175" s="5" t="s">
        <v>13</v>
      </c>
      <c r="F175" s="5" t="s">
        <v>14</v>
      </c>
      <c r="G175" s="5" t="s">
        <v>15</v>
      </c>
      <c r="H175" s="5" t="s">
        <v>16</v>
      </c>
      <c r="I175" s="3">
        <v>110</v>
      </c>
      <c r="J175" s="3">
        <v>2</v>
      </c>
      <c r="K175" s="3">
        <v>1</v>
      </c>
      <c r="L175" s="3" t="str">
        <f t="shared" si="7"/>
        <v>2º Semestre</v>
      </c>
      <c r="M175" s="3" t="str">
        <f t="shared" si="8"/>
        <v>T3</v>
      </c>
      <c r="N175" s="3" t="str">
        <f t="shared" si="6"/>
        <v>set</v>
      </c>
      <c r="O175" s="3">
        <v>9</v>
      </c>
    </row>
    <row r="176" spans="3:15" ht="72" x14ac:dyDescent="0.3">
      <c r="C176" s="3">
        <v>175</v>
      </c>
      <c r="D176" s="4">
        <v>45919</v>
      </c>
      <c r="E176" s="5" t="s">
        <v>26</v>
      </c>
      <c r="F176" s="5" t="s">
        <v>27</v>
      </c>
      <c r="G176" s="5" t="s">
        <v>39</v>
      </c>
      <c r="H176" s="5" t="s">
        <v>16</v>
      </c>
      <c r="I176" s="3">
        <v>26</v>
      </c>
      <c r="J176" s="3">
        <v>1</v>
      </c>
      <c r="K176" s="3">
        <v>1</v>
      </c>
      <c r="L176" s="3" t="str">
        <f t="shared" si="7"/>
        <v>2º Semestre</v>
      </c>
      <c r="M176" s="3" t="str">
        <f t="shared" si="8"/>
        <v>T3</v>
      </c>
      <c r="N176" s="3" t="str">
        <f t="shared" si="6"/>
        <v>set</v>
      </c>
      <c r="O176" s="3">
        <v>9</v>
      </c>
    </row>
    <row r="177" spans="3:15" ht="72" x14ac:dyDescent="0.3">
      <c r="C177" s="3">
        <v>176</v>
      </c>
      <c r="D177" s="4">
        <v>45922</v>
      </c>
      <c r="E177" s="5" t="s">
        <v>13</v>
      </c>
      <c r="F177" s="5" t="s">
        <v>34</v>
      </c>
      <c r="G177" s="5" t="s">
        <v>35</v>
      </c>
      <c r="H177" s="5" t="s">
        <v>36</v>
      </c>
      <c r="I177" s="3">
        <v>109</v>
      </c>
      <c r="J177" s="3">
        <v>1</v>
      </c>
      <c r="K177" s="3">
        <v>1</v>
      </c>
      <c r="L177" s="3" t="str">
        <f t="shared" si="7"/>
        <v>2º Semestre</v>
      </c>
      <c r="M177" s="3" t="str">
        <f t="shared" si="8"/>
        <v>T3</v>
      </c>
      <c r="N177" s="3" t="str">
        <f t="shared" si="6"/>
        <v>set</v>
      </c>
      <c r="O177" s="3">
        <v>9</v>
      </c>
    </row>
    <row r="178" spans="3:15" ht="28.8" x14ac:dyDescent="0.3">
      <c r="C178" s="3">
        <v>177</v>
      </c>
      <c r="D178" s="4">
        <v>45923</v>
      </c>
      <c r="E178" s="5" t="s">
        <v>19</v>
      </c>
      <c r="F178" s="5" t="s">
        <v>20</v>
      </c>
      <c r="G178" s="5" t="s">
        <v>21</v>
      </c>
      <c r="H178" s="5" t="s">
        <v>22</v>
      </c>
      <c r="I178" s="3">
        <v>80</v>
      </c>
      <c r="J178" s="3">
        <v>4</v>
      </c>
      <c r="K178" s="3">
        <v>1</v>
      </c>
      <c r="L178" s="3" t="str">
        <f t="shared" si="7"/>
        <v>2º Semestre</v>
      </c>
      <c r="M178" s="3" t="str">
        <f t="shared" si="8"/>
        <v>T3</v>
      </c>
      <c r="N178" s="3" t="str">
        <f t="shared" si="6"/>
        <v>set</v>
      </c>
      <c r="O178" s="3">
        <v>9</v>
      </c>
    </row>
    <row r="179" spans="3:15" ht="28.8" x14ac:dyDescent="0.3">
      <c r="C179" s="3">
        <v>178</v>
      </c>
      <c r="D179" s="4">
        <v>45924</v>
      </c>
      <c r="E179" s="5" t="s">
        <v>23</v>
      </c>
      <c r="F179" s="5" t="s">
        <v>24</v>
      </c>
      <c r="G179" s="5" t="s">
        <v>25</v>
      </c>
      <c r="H179" s="5" t="s">
        <v>22</v>
      </c>
      <c r="I179" s="3">
        <v>42</v>
      </c>
      <c r="J179" s="3">
        <v>3</v>
      </c>
      <c r="K179" s="3">
        <v>2</v>
      </c>
      <c r="L179" s="3" t="str">
        <f t="shared" si="7"/>
        <v>2º Semestre</v>
      </c>
      <c r="M179" s="3" t="str">
        <f t="shared" si="8"/>
        <v>T3</v>
      </c>
      <c r="N179" s="3" t="str">
        <f t="shared" si="6"/>
        <v>set</v>
      </c>
      <c r="O179" s="3">
        <v>9</v>
      </c>
    </row>
    <row r="180" spans="3:15" ht="57.6" x14ac:dyDescent="0.3">
      <c r="C180" s="3">
        <v>179</v>
      </c>
      <c r="D180" s="4">
        <v>45925</v>
      </c>
      <c r="E180" s="5" t="s">
        <v>30</v>
      </c>
      <c r="F180" s="5" t="s">
        <v>31</v>
      </c>
      <c r="G180" s="5" t="s">
        <v>32</v>
      </c>
      <c r="H180" s="5" t="s">
        <v>33</v>
      </c>
      <c r="I180" s="3">
        <v>15</v>
      </c>
      <c r="J180" s="3">
        <v>8</v>
      </c>
      <c r="K180" s="3">
        <v>4</v>
      </c>
      <c r="L180" s="3" t="str">
        <f t="shared" si="7"/>
        <v>2º Semestre</v>
      </c>
      <c r="M180" s="3" t="str">
        <f t="shared" si="8"/>
        <v>T3</v>
      </c>
      <c r="N180" s="3" t="str">
        <f t="shared" si="6"/>
        <v>set</v>
      </c>
      <c r="O180" s="3">
        <v>9</v>
      </c>
    </row>
    <row r="181" spans="3:15" ht="43.2" x14ac:dyDescent="0.3">
      <c r="C181" s="3">
        <v>180</v>
      </c>
      <c r="D181" s="4">
        <v>45929</v>
      </c>
      <c r="E181" s="5" t="s">
        <v>13</v>
      </c>
      <c r="F181" s="5" t="s">
        <v>17</v>
      </c>
      <c r="G181" s="5" t="s">
        <v>18</v>
      </c>
      <c r="H181" s="5" t="s">
        <v>16</v>
      </c>
      <c r="I181" s="3">
        <v>109</v>
      </c>
      <c r="J181" s="3">
        <v>2</v>
      </c>
      <c r="K181" s="3">
        <v>1</v>
      </c>
      <c r="L181" s="3" t="str">
        <f t="shared" si="7"/>
        <v>2º Semestre</v>
      </c>
      <c r="M181" s="3" t="str">
        <f t="shared" si="8"/>
        <v>T3</v>
      </c>
      <c r="N181" s="3" t="str">
        <f t="shared" si="6"/>
        <v>set</v>
      </c>
      <c r="O181" s="3">
        <v>9</v>
      </c>
    </row>
    <row r="182" spans="3:15" ht="57.6" x14ac:dyDescent="0.3">
      <c r="C182" s="3">
        <v>181</v>
      </c>
      <c r="D182" s="4">
        <v>45932</v>
      </c>
      <c r="E182" s="5" t="s">
        <v>13</v>
      </c>
      <c r="F182" s="5" t="s">
        <v>14</v>
      </c>
      <c r="G182" s="5" t="s">
        <v>15</v>
      </c>
      <c r="H182" s="5" t="s">
        <v>16</v>
      </c>
      <c r="I182" s="3">
        <v>120</v>
      </c>
      <c r="J182" s="3">
        <v>2</v>
      </c>
      <c r="K182" s="3">
        <v>1</v>
      </c>
      <c r="L182" s="3" t="str">
        <f t="shared" si="7"/>
        <v>2º Semestre</v>
      </c>
      <c r="M182" s="3" t="str">
        <f t="shared" si="8"/>
        <v>T4</v>
      </c>
      <c r="N182" s="3" t="str">
        <f t="shared" si="6"/>
        <v>out</v>
      </c>
      <c r="O182" s="3">
        <v>10</v>
      </c>
    </row>
    <row r="183" spans="3:15" ht="28.8" x14ac:dyDescent="0.3">
      <c r="C183" s="3">
        <v>182</v>
      </c>
      <c r="D183" s="4">
        <v>45933</v>
      </c>
      <c r="E183" s="5" t="s">
        <v>19</v>
      </c>
      <c r="F183" s="5" t="s">
        <v>20</v>
      </c>
      <c r="G183" s="5" t="s">
        <v>21</v>
      </c>
      <c r="H183" s="5" t="s">
        <v>22</v>
      </c>
      <c r="I183" s="3">
        <v>80</v>
      </c>
      <c r="J183" s="3">
        <v>4</v>
      </c>
      <c r="K183" s="3">
        <v>1</v>
      </c>
      <c r="L183" s="3" t="str">
        <f t="shared" si="7"/>
        <v>2º Semestre</v>
      </c>
      <c r="M183" s="3" t="str">
        <f t="shared" si="8"/>
        <v>T4</v>
      </c>
      <c r="N183" s="3" t="str">
        <f t="shared" si="6"/>
        <v>out</v>
      </c>
      <c r="O183" s="3">
        <v>10</v>
      </c>
    </row>
    <row r="184" spans="3:15" ht="28.8" x14ac:dyDescent="0.3">
      <c r="C184" s="3">
        <v>183</v>
      </c>
      <c r="D184" s="4">
        <v>45936</v>
      </c>
      <c r="E184" s="5" t="s">
        <v>23</v>
      </c>
      <c r="F184" s="5" t="s">
        <v>24</v>
      </c>
      <c r="G184" s="5" t="s">
        <v>25</v>
      </c>
      <c r="H184" s="5" t="s">
        <v>22</v>
      </c>
      <c r="I184" s="3">
        <v>42</v>
      </c>
      <c r="J184" s="3">
        <v>3</v>
      </c>
      <c r="K184" s="3">
        <v>2</v>
      </c>
      <c r="L184" s="3" t="str">
        <f t="shared" si="7"/>
        <v>2º Semestre</v>
      </c>
      <c r="M184" s="3" t="str">
        <f t="shared" si="8"/>
        <v>T4</v>
      </c>
      <c r="N184" s="3" t="str">
        <f t="shared" si="6"/>
        <v>out</v>
      </c>
      <c r="O184" s="3">
        <v>10</v>
      </c>
    </row>
    <row r="185" spans="3:15" ht="28.8" x14ac:dyDescent="0.3">
      <c r="C185" s="3">
        <v>184</v>
      </c>
      <c r="D185" s="4">
        <v>45937</v>
      </c>
      <c r="E185" s="5" t="s">
        <v>26</v>
      </c>
      <c r="F185" s="5" t="s">
        <v>27</v>
      </c>
      <c r="G185" s="5" t="s">
        <v>28</v>
      </c>
      <c r="H185" s="5" t="s">
        <v>16</v>
      </c>
      <c r="I185" s="3">
        <v>26</v>
      </c>
      <c r="J185" s="3">
        <v>1</v>
      </c>
      <c r="K185" s="3">
        <v>1</v>
      </c>
      <c r="L185" s="3" t="str">
        <f t="shared" si="7"/>
        <v>2º Semestre</v>
      </c>
      <c r="M185" s="3" t="str">
        <f t="shared" si="8"/>
        <v>T4</v>
      </c>
      <c r="N185" s="3" t="str">
        <f t="shared" si="6"/>
        <v>out</v>
      </c>
      <c r="O185" s="3">
        <v>10</v>
      </c>
    </row>
    <row r="186" spans="3:15" ht="57.6" x14ac:dyDescent="0.3">
      <c r="C186" s="3">
        <v>185</v>
      </c>
      <c r="D186" s="4">
        <v>45938</v>
      </c>
      <c r="E186" s="5" t="s">
        <v>30</v>
      </c>
      <c r="F186" s="5" t="s">
        <v>31</v>
      </c>
      <c r="G186" s="5" t="s">
        <v>32</v>
      </c>
      <c r="H186" s="5" t="s">
        <v>33</v>
      </c>
      <c r="I186" s="3">
        <v>15</v>
      </c>
      <c r="J186" s="3">
        <v>7</v>
      </c>
      <c r="K186" s="3">
        <v>0</v>
      </c>
      <c r="L186" s="3" t="str">
        <f t="shared" si="7"/>
        <v>2º Semestre</v>
      </c>
      <c r="M186" s="3" t="str">
        <f t="shared" si="8"/>
        <v>T4</v>
      </c>
      <c r="N186" s="3" t="str">
        <f t="shared" si="6"/>
        <v>out</v>
      </c>
      <c r="O186" s="3">
        <v>10</v>
      </c>
    </row>
    <row r="187" spans="3:15" ht="43.2" x14ac:dyDescent="0.3">
      <c r="C187" s="3">
        <v>186</v>
      </c>
      <c r="D187" s="4">
        <v>45939</v>
      </c>
      <c r="E187" s="5" t="s">
        <v>13</v>
      </c>
      <c r="F187" s="5" t="s">
        <v>17</v>
      </c>
      <c r="G187" s="5" t="s">
        <v>18</v>
      </c>
      <c r="H187" s="5" t="s">
        <v>16</v>
      </c>
      <c r="I187" s="3">
        <v>120</v>
      </c>
      <c r="J187" s="3">
        <v>2</v>
      </c>
      <c r="K187" s="3">
        <v>1</v>
      </c>
      <c r="L187" s="3" t="str">
        <f t="shared" si="7"/>
        <v>2º Semestre</v>
      </c>
      <c r="M187" s="3" t="str">
        <f t="shared" si="8"/>
        <v>T4</v>
      </c>
      <c r="N187" s="3" t="str">
        <f t="shared" si="6"/>
        <v>out</v>
      </c>
      <c r="O187" s="3">
        <v>10</v>
      </c>
    </row>
    <row r="188" spans="3:15" ht="57.6" x14ac:dyDescent="0.3">
      <c r="C188" s="3">
        <v>187</v>
      </c>
      <c r="D188" s="4">
        <v>45940</v>
      </c>
      <c r="E188" s="5" t="s">
        <v>13</v>
      </c>
      <c r="F188" s="5" t="s">
        <v>37</v>
      </c>
      <c r="G188" s="5" t="s">
        <v>38</v>
      </c>
      <c r="H188" s="5" t="s">
        <v>22</v>
      </c>
      <c r="I188" s="3">
        <v>120</v>
      </c>
      <c r="J188" s="3">
        <v>2</v>
      </c>
      <c r="K188" s="3">
        <v>1</v>
      </c>
      <c r="L188" s="3" t="str">
        <f t="shared" si="7"/>
        <v>2º Semestre</v>
      </c>
      <c r="M188" s="3" t="str">
        <f t="shared" si="8"/>
        <v>T4</v>
      </c>
      <c r="N188" s="3" t="str">
        <f t="shared" si="6"/>
        <v>out</v>
      </c>
      <c r="O188" s="3">
        <v>10</v>
      </c>
    </row>
    <row r="189" spans="3:15" ht="28.8" x14ac:dyDescent="0.3">
      <c r="C189" s="3">
        <v>188</v>
      </c>
      <c r="D189" s="4">
        <v>45943</v>
      </c>
      <c r="E189" s="5" t="s">
        <v>26</v>
      </c>
      <c r="F189" s="5" t="s">
        <v>14</v>
      </c>
      <c r="G189" s="5" t="s">
        <v>29</v>
      </c>
      <c r="H189" s="5" t="s">
        <v>16</v>
      </c>
      <c r="I189" s="3">
        <v>30</v>
      </c>
      <c r="J189" s="3">
        <v>2</v>
      </c>
      <c r="K189" s="3">
        <v>1</v>
      </c>
      <c r="L189" s="3" t="str">
        <f t="shared" si="7"/>
        <v>2º Semestre</v>
      </c>
      <c r="M189" s="3" t="str">
        <f t="shared" si="8"/>
        <v>T4</v>
      </c>
      <c r="N189" s="3" t="str">
        <f t="shared" si="6"/>
        <v>out</v>
      </c>
      <c r="O189" s="3">
        <v>10</v>
      </c>
    </row>
    <row r="190" spans="3:15" ht="43.2" x14ac:dyDescent="0.3">
      <c r="C190" s="3">
        <v>189</v>
      </c>
      <c r="D190" s="4">
        <v>45944</v>
      </c>
      <c r="E190" s="5" t="s">
        <v>23</v>
      </c>
      <c r="F190" s="5" t="s">
        <v>20</v>
      </c>
      <c r="G190" s="5" t="s">
        <v>41</v>
      </c>
      <c r="H190" s="5" t="s">
        <v>33</v>
      </c>
      <c r="I190" s="3">
        <v>30</v>
      </c>
      <c r="J190" s="3">
        <v>4</v>
      </c>
      <c r="K190" s="3">
        <v>1</v>
      </c>
      <c r="L190" s="3" t="str">
        <f t="shared" si="7"/>
        <v>2º Semestre</v>
      </c>
      <c r="M190" s="3" t="str">
        <f t="shared" si="8"/>
        <v>T4</v>
      </c>
      <c r="N190" s="3" t="str">
        <f t="shared" si="6"/>
        <v>out</v>
      </c>
      <c r="O190" s="3">
        <v>10</v>
      </c>
    </row>
    <row r="191" spans="3:15" ht="43.2" x14ac:dyDescent="0.3">
      <c r="C191" s="3">
        <v>190</v>
      </c>
      <c r="D191" s="4">
        <v>45945</v>
      </c>
      <c r="E191" s="5" t="s">
        <v>13</v>
      </c>
      <c r="F191" s="5" t="s">
        <v>43</v>
      </c>
      <c r="G191" s="5" t="s">
        <v>44</v>
      </c>
      <c r="H191" s="5" t="s">
        <v>22</v>
      </c>
      <c r="I191" s="3">
        <v>120</v>
      </c>
      <c r="J191" s="3">
        <v>3</v>
      </c>
      <c r="K191" s="3">
        <v>2</v>
      </c>
      <c r="L191" s="3" t="str">
        <f t="shared" si="7"/>
        <v>2º Semestre</v>
      </c>
      <c r="M191" s="3" t="str">
        <f t="shared" si="8"/>
        <v>T4</v>
      </c>
      <c r="N191" s="3" t="str">
        <f t="shared" si="6"/>
        <v>out</v>
      </c>
      <c r="O191" s="3">
        <v>10</v>
      </c>
    </row>
    <row r="192" spans="3:15" ht="28.8" x14ac:dyDescent="0.3">
      <c r="C192" s="3">
        <v>191</v>
      </c>
      <c r="D192" s="4">
        <v>45946</v>
      </c>
      <c r="E192" s="5" t="s">
        <v>19</v>
      </c>
      <c r="F192" s="5" t="s">
        <v>24</v>
      </c>
      <c r="G192" s="5" t="s">
        <v>46</v>
      </c>
      <c r="H192" s="5" t="s">
        <v>22</v>
      </c>
      <c r="I192" s="3">
        <v>80</v>
      </c>
      <c r="J192" s="3">
        <v>3</v>
      </c>
      <c r="K192" s="3">
        <v>2</v>
      </c>
      <c r="L192" s="3" t="str">
        <f t="shared" si="7"/>
        <v>2º Semestre</v>
      </c>
      <c r="M192" s="3" t="str">
        <f t="shared" si="8"/>
        <v>T4</v>
      </c>
      <c r="N192" s="3" t="str">
        <f t="shared" si="6"/>
        <v>out</v>
      </c>
      <c r="O192" s="3">
        <v>10</v>
      </c>
    </row>
    <row r="193" spans="3:15" ht="43.2" x14ac:dyDescent="0.3">
      <c r="C193" s="3">
        <v>192</v>
      </c>
      <c r="D193" s="4">
        <v>45947</v>
      </c>
      <c r="E193" s="5" t="s">
        <v>30</v>
      </c>
      <c r="F193" s="5" t="s">
        <v>17</v>
      </c>
      <c r="G193" s="5" t="s">
        <v>50</v>
      </c>
      <c r="H193" s="5" t="s">
        <v>16</v>
      </c>
      <c r="I193" s="3">
        <v>15</v>
      </c>
      <c r="J193" s="3">
        <v>4</v>
      </c>
      <c r="K193" s="3">
        <v>2</v>
      </c>
      <c r="L193" s="3" t="str">
        <f t="shared" si="7"/>
        <v>2º Semestre</v>
      </c>
      <c r="M193" s="3" t="str">
        <f t="shared" si="8"/>
        <v>T4</v>
      </c>
      <c r="N193" s="3" t="str">
        <f t="shared" si="6"/>
        <v>out</v>
      </c>
      <c r="O193" s="3">
        <v>10</v>
      </c>
    </row>
    <row r="194" spans="3:15" ht="57.6" x14ac:dyDescent="0.3">
      <c r="C194" s="3">
        <v>193</v>
      </c>
      <c r="D194" s="4">
        <v>45950</v>
      </c>
      <c r="E194" s="5" t="s">
        <v>13</v>
      </c>
      <c r="F194" s="5" t="s">
        <v>14</v>
      </c>
      <c r="G194" s="5" t="s">
        <v>15</v>
      </c>
      <c r="H194" s="5" t="s">
        <v>16</v>
      </c>
      <c r="I194" s="3">
        <v>100</v>
      </c>
      <c r="J194" s="3">
        <v>2</v>
      </c>
      <c r="K194" s="3">
        <v>1</v>
      </c>
      <c r="L194" s="3" t="str">
        <f t="shared" si="7"/>
        <v>2º Semestre</v>
      </c>
      <c r="M194" s="3" t="str">
        <f t="shared" si="8"/>
        <v>T4</v>
      </c>
      <c r="N194" s="3" t="str">
        <f t="shared" ref="N194:N241" si="9">TEXT(D194,"MMM")</f>
        <v>out</v>
      </c>
      <c r="O194" s="3">
        <v>10</v>
      </c>
    </row>
    <row r="195" spans="3:15" ht="72" x14ac:dyDescent="0.3">
      <c r="C195" s="3">
        <v>194</v>
      </c>
      <c r="D195" s="4">
        <v>45951</v>
      </c>
      <c r="E195" s="5" t="s">
        <v>26</v>
      </c>
      <c r="F195" s="5" t="s">
        <v>27</v>
      </c>
      <c r="G195" s="5" t="s">
        <v>39</v>
      </c>
      <c r="H195" s="5" t="s">
        <v>16</v>
      </c>
      <c r="I195" s="3">
        <v>30</v>
      </c>
      <c r="J195" s="3">
        <v>1</v>
      </c>
      <c r="K195" s="3">
        <v>1</v>
      </c>
      <c r="L195" s="3" t="str">
        <f t="shared" ref="L195:L241" si="10">IF(MONTH(N195 &amp; " 1")&lt;=6, "1º Semestre", "2º Semestre")</f>
        <v>2º Semestre</v>
      </c>
      <c r="M195" s="3" t="str">
        <f t="shared" ref="M195" si="11">"T"&amp;ROUNDUP(VALUE(O195)/3,0)</f>
        <v>T4</v>
      </c>
      <c r="N195" s="3" t="str">
        <f t="shared" si="9"/>
        <v>out</v>
      </c>
      <c r="O195" s="3">
        <v>10</v>
      </c>
    </row>
    <row r="196" spans="3:15" ht="28.8" x14ac:dyDescent="0.3">
      <c r="C196" s="3">
        <v>195</v>
      </c>
      <c r="D196" s="4">
        <v>45952</v>
      </c>
      <c r="E196" s="5" t="s">
        <v>19</v>
      </c>
      <c r="F196" s="5" t="s">
        <v>20</v>
      </c>
      <c r="G196" s="5" t="s">
        <v>21</v>
      </c>
      <c r="H196" s="5" t="s">
        <v>22</v>
      </c>
      <c r="I196" s="3">
        <v>85</v>
      </c>
      <c r="J196" s="3">
        <v>4</v>
      </c>
      <c r="K196" s="3">
        <v>1</v>
      </c>
      <c r="L196" s="3" t="str">
        <f t="shared" si="10"/>
        <v>2º Semestre</v>
      </c>
      <c r="M196" s="3" t="str">
        <f>"T"&amp;ROUNDUP(VALUE(O196)/3,0)</f>
        <v>T4</v>
      </c>
      <c r="N196" s="3" t="str">
        <f t="shared" si="9"/>
        <v>out</v>
      </c>
      <c r="O196" s="3">
        <v>10</v>
      </c>
    </row>
    <row r="197" spans="3:15" ht="57.6" x14ac:dyDescent="0.3">
      <c r="C197" s="3">
        <v>196</v>
      </c>
      <c r="D197" s="4">
        <v>45953</v>
      </c>
      <c r="E197" s="5" t="s">
        <v>30</v>
      </c>
      <c r="F197" s="5" t="s">
        <v>31</v>
      </c>
      <c r="G197" s="5" t="s">
        <v>32</v>
      </c>
      <c r="H197" s="5" t="s">
        <v>33</v>
      </c>
      <c r="I197" s="3">
        <v>15</v>
      </c>
      <c r="J197" s="3">
        <v>7</v>
      </c>
      <c r="K197" s="3">
        <v>4</v>
      </c>
      <c r="L197" s="3" t="str">
        <f t="shared" si="10"/>
        <v>2º Semestre</v>
      </c>
      <c r="M197" s="3" t="str">
        <f t="shared" ref="M197:M241" si="12">"T"&amp;ROUNDUP(VALUE(O197)/3,0)</f>
        <v>T4</v>
      </c>
      <c r="N197" s="3" t="str">
        <f t="shared" si="9"/>
        <v>out</v>
      </c>
      <c r="O197" s="3">
        <v>10</v>
      </c>
    </row>
    <row r="198" spans="3:15" ht="72" x14ac:dyDescent="0.3">
      <c r="C198" s="3">
        <v>197</v>
      </c>
      <c r="D198" s="4">
        <v>45954</v>
      </c>
      <c r="E198" s="5" t="s">
        <v>13</v>
      </c>
      <c r="F198" s="5" t="s">
        <v>34</v>
      </c>
      <c r="G198" s="5" t="s">
        <v>35</v>
      </c>
      <c r="H198" s="5" t="s">
        <v>36</v>
      </c>
      <c r="I198" s="3">
        <v>110</v>
      </c>
      <c r="J198" s="3">
        <v>1</v>
      </c>
      <c r="K198" s="3">
        <v>1</v>
      </c>
      <c r="L198" s="3" t="str">
        <f t="shared" si="10"/>
        <v>2º Semestre</v>
      </c>
      <c r="M198" s="3" t="str">
        <f t="shared" si="12"/>
        <v>T4</v>
      </c>
      <c r="N198" s="3" t="str">
        <f t="shared" si="9"/>
        <v>out</v>
      </c>
      <c r="O198" s="3">
        <v>10</v>
      </c>
    </row>
    <row r="199" spans="3:15" ht="28.8" x14ac:dyDescent="0.3">
      <c r="C199" s="3">
        <v>198</v>
      </c>
      <c r="D199" s="4">
        <v>45957</v>
      </c>
      <c r="E199" s="5" t="s">
        <v>23</v>
      </c>
      <c r="F199" s="5" t="s">
        <v>24</v>
      </c>
      <c r="G199" s="5" t="s">
        <v>25</v>
      </c>
      <c r="H199" s="5" t="s">
        <v>22</v>
      </c>
      <c r="I199" s="3">
        <v>30</v>
      </c>
      <c r="J199" s="3">
        <v>3</v>
      </c>
      <c r="K199" s="3">
        <v>2</v>
      </c>
      <c r="L199" s="3" t="str">
        <f t="shared" si="10"/>
        <v>2º Semestre</v>
      </c>
      <c r="M199" s="3" t="str">
        <f t="shared" si="12"/>
        <v>T4</v>
      </c>
      <c r="N199" s="3" t="str">
        <f t="shared" si="9"/>
        <v>out</v>
      </c>
      <c r="O199" s="3">
        <v>10</v>
      </c>
    </row>
    <row r="200" spans="3:15" ht="43.2" x14ac:dyDescent="0.3">
      <c r="C200" s="3">
        <v>199</v>
      </c>
      <c r="D200" s="4">
        <v>45958</v>
      </c>
      <c r="E200" s="5" t="s">
        <v>13</v>
      </c>
      <c r="F200" s="5" t="s">
        <v>17</v>
      </c>
      <c r="G200" s="5" t="s">
        <v>18</v>
      </c>
      <c r="H200" s="5" t="s">
        <v>16</v>
      </c>
      <c r="I200" s="3">
        <v>110</v>
      </c>
      <c r="J200" s="3">
        <v>2</v>
      </c>
      <c r="K200" s="3">
        <v>1</v>
      </c>
      <c r="L200" s="3" t="str">
        <f t="shared" si="10"/>
        <v>2º Semestre</v>
      </c>
      <c r="M200" s="3" t="str">
        <f t="shared" si="12"/>
        <v>T4</v>
      </c>
      <c r="N200" s="3" t="str">
        <f t="shared" si="9"/>
        <v>out</v>
      </c>
      <c r="O200" s="3">
        <v>10</v>
      </c>
    </row>
    <row r="201" spans="3:15" ht="28.8" x14ac:dyDescent="0.3">
      <c r="C201" s="3">
        <v>200</v>
      </c>
      <c r="D201" s="4">
        <v>45960</v>
      </c>
      <c r="E201" s="5" t="s">
        <v>26</v>
      </c>
      <c r="F201" s="5" t="s">
        <v>14</v>
      </c>
      <c r="G201" s="5" t="s">
        <v>29</v>
      </c>
      <c r="H201" s="5" t="s">
        <v>16</v>
      </c>
      <c r="I201" s="3">
        <v>30</v>
      </c>
      <c r="J201" s="3">
        <v>2</v>
      </c>
      <c r="K201" s="3">
        <v>1</v>
      </c>
      <c r="L201" s="3" t="str">
        <f t="shared" si="10"/>
        <v>2º Semestre</v>
      </c>
      <c r="M201" s="3" t="str">
        <f t="shared" si="12"/>
        <v>T4</v>
      </c>
      <c r="N201" s="3" t="str">
        <f t="shared" si="9"/>
        <v>out</v>
      </c>
      <c r="O201" s="3">
        <v>10</v>
      </c>
    </row>
    <row r="202" spans="3:15" ht="57.6" x14ac:dyDescent="0.3">
      <c r="C202" s="3">
        <v>201</v>
      </c>
      <c r="D202" s="4">
        <v>45964</v>
      </c>
      <c r="E202" s="5" t="s">
        <v>13</v>
      </c>
      <c r="F202" s="5" t="s">
        <v>14</v>
      </c>
      <c r="G202" s="5" t="s">
        <v>15</v>
      </c>
      <c r="H202" s="5" t="s">
        <v>16</v>
      </c>
      <c r="I202" s="3">
        <v>110</v>
      </c>
      <c r="J202" s="3">
        <v>1</v>
      </c>
      <c r="K202" s="3">
        <v>1</v>
      </c>
      <c r="L202" s="3" t="str">
        <f t="shared" si="10"/>
        <v>2º Semestre</v>
      </c>
      <c r="M202" s="3" t="str">
        <f t="shared" si="12"/>
        <v>T4</v>
      </c>
      <c r="N202" s="3" t="str">
        <f t="shared" si="9"/>
        <v>nov</v>
      </c>
      <c r="O202" s="3">
        <v>11</v>
      </c>
    </row>
    <row r="203" spans="3:15" ht="28.8" x14ac:dyDescent="0.3">
      <c r="C203" s="3">
        <v>202</v>
      </c>
      <c r="D203" s="4">
        <v>45965</v>
      </c>
      <c r="E203" s="5" t="s">
        <v>19</v>
      </c>
      <c r="F203" s="5" t="s">
        <v>20</v>
      </c>
      <c r="G203" s="5" t="s">
        <v>21</v>
      </c>
      <c r="H203" s="5" t="s">
        <v>22</v>
      </c>
      <c r="I203" s="3">
        <v>85</v>
      </c>
      <c r="J203" s="3">
        <v>3</v>
      </c>
      <c r="K203" s="3">
        <v>1</v>
      </c>
      <c r="L203" s="3" t="str">
        <f t="shared" si="10"/>
        <v>2º Semestre</v>
      </c>
      <c r="M203" s="3" t="str">
        <f t="shared" si="12"/>
        <v>T4</v>
      </c>
      <c r="N203" s="3" t="str">
        <f t="shared" si="9"/>
        <v>nov</v>
      </c>
      <c r="O203" s="3">
        <v>11</v>
      </c>
    </row>
    <row r="204" spans="3:15" ht="28.8" x14ac:dyDescent="0.3">
      <c r="C204" s="3">
        <v>203</v>
      </c>
      <c r="D204" s="4">
        <v>45966</v>
      </c>
      <c r="E204" s="5" t="s">
        <v>23</v>
      </c>
      <c r="F204" s="5" t="s">
        <v>24</v>
      </c>
      <c r="G204" s="5" t="s">
        <v>25</v>
      </c>
      <c r="H204" s="5" t="s">
        <v>22</v>
      </c>
      <c r="I204" s="3">
        <v>30</v>
      </c>
      <c r="J204" s="3">
        <v>3</v>
      </c>
      <c r="K204" s="3">
        <v>2</v>
      </c>
      <c r="L204" s="3" t="str">
        <f t="shared" si="10"/>
        <v>2º Semestre</v>
      </c>
      <c r="M204" s="3" t="str">
        <f t="shared" si="12"/>
        <v>T4</v>
      </c>
      <c r="N204" s="3" t="str">
        <f t="shared" si="9"/>
        <v>nov</v>
      </c>
      <c r="O204" s="3">
        <v>11</v>
      </c>
    </row>
    <row r="205" spans="3:15" ht="28.8" x14ac:dyDescent="0.3">
      <c r="C205" s="3">
        <v>204</v>
      </c>
      <c r="D205" s="4">
        <v>45967</v>
      </c>
      <c r="E205" s="5" t="s">
        <v>26</v>
      </c>
      <c r="F205" s="5" t="s">
        <v>27</v>
      </c>
      <c r="G205" s="5" t="s">
        <v>28</v>
      </c>
      <c r="H205" s="5" t="s">
        <v>16</v>
      </c>
      <c r="I205" s="3">
        <v>26</v>
      </c>
      <c r="J205" s="3">
        <v>1</v>
      </c>
      <c r="K205" s="3">
        <v>1</v>
      </c>
      <c r="L205" s="3" t="str">
        <f t="shared" si="10"/>
        <v>2º Semestre</v>
      </c>
      <c r="M205" s="3" t="str">
        <f t="shared" si="12"/>
        <v>T4</v>
      </c>
      <c r="N205" s="3" t="str">
        <f t="shared" si="9"/>
        <v>nov</v>
      </c>
      <c r="O205" s="3">
        <v>11</v>
      </c>
    </row>
    <row r="206" spans="3:15" ht="57.6" x14ac:dyDescent="0.3">
      <c r="C206" s="3">
        <v>205</v>
      </c>
      <c r="D206" s="4">
        <v>45968</v>
      </c>
      <c r="E206" s="5" t="s">
        <v>30</v>
      </c>
      <c r="F206" s="5" t="s">
        <v>31</v>
      </c>
      <c r="G206" s="5" t="s">
        <v>32</v>
      </c>
      <c r="H206" s="5" t="s">
        <v>33</v>
      </c>
      <c r="I206" s="3">
        <v>10</v>
      </c>
      <c r="J206" s="3">
        <v>6</v>
      </c>
      <c r="K206" s="3">
        <v>2</v>
      </c>
      <c r="L206" s="3" t="str">
        <f t="shared" si="10"/>
        <v>2º Semestre</v>
      </c>
      <c r="M206" s="3" t="str">
        <f t="shared" si="12"/>
        <v>T4</v>
      </c>
      <c r="N206" s="3" t="str">
        <f t="shared" si="9"/>
        <v>nov</v>
      </c>
      <c r="O206" s="3">
        <v>11</v>
      </c>
    </row>
    <row r="207" spans="3:15" ht="43.2" x14ac:dyDescent="0.3">
      <c r="C207" s="3">
        <v>206</v>
      </c>
      <c r="D207" s="4">
        <v>45971</v>
      </c>
      <c r="E207" s="5" t="s">
        <v>13</v>
      </c>
      <c r="F207" s="5" t="s">
        <v>17</v>
      </c>
      <c r="G207" s="5" t="s">
        <v>18</v>
      </c>
      <c r="H207" s="5" t="s">
        <v>16</v>
      </c>
      <c r="I207" s="3">
        <v>109</v>
      </c>
      <c r="J207" s="3">
        <v>2</v>
      </c>
      <c r="K207" s="3">
        <v>1</v>
      </c>
      <c r="L207" s="3" t="str">
        <f t="shared" si="10"/>
        <v>2º Semestre</v>
      </c>
      <c r="M207" s="3" t="str">
        <f t="shared" si="12"/>
        <v>T4</v>
      </c>
      <c r="N207" s="3" t="str">
        <f t="shared" si="9"/>
        <v>nov</v>
      </c>
      <c r="O207" s="3">
        <v>11</v>
      </c>
    </row>
    <row r="208" spans="3:15" ht="57.6" x14ac:dyDescent="0.3">
      <c r="C208" s="3">
        <v>207</v>
      </c>
      <c r="D208" s="4">
        <v>45972</v>
      </c>
      <c r="E208" s="5" t="s">
        <v>13</v>
      </c>
      <c r="F208" s="5" t="s">
        <v>37</v>
      </c>
      <c r="G208" s="5" t="s">
        <v>38</v>
      </c>
      <c r="H208" s="5" t="s">
        <v>22</v>
      </c>
      <c r="I208" s="3">
        <v>109</v>
      </c>
      <c r="J208" s="3">
        <v>2</v>
      </c>
      <c r="K208" s="3">
        <v>1</v>
      </c>
      <c r="L208" s="3" t="str">
        <f t="shared" si="10"/>
        <v>2º Semestre</v>
      </c>
      <c r="M208" s="3" t="str">
        <f t="shared" si="12"/>
        <v>T4</v>
      </c>
      <c r="N208" s="3" t="str">
        <f t="shared" si="9"/>
        <v>nov</v>
      </c>
      <c r="O208" s="3">
        <v>11</v>
      </c>
    </row>
    <row r="209" spans="3:15" ht="28.8" x14ac:dyDescent="0.3">
      <c r="C209" s="3">
        <v>208</v>
      </c>
      <c r="D209" s="4">
        <v>45973</v>
      </c>
      <c r="E209" s="5" t="s">
        <v>26</v>
      </c>
      <c r="F209" s="5" t="s">
        <v>14</v>
      </c>
      <c r="G209" s="5" t="s">
        <v>29</v>
      </c>
      <c r="H209" s="5" t="s">
        <v>16</v>
      </c>
      <c r="I209" s="3">
        <v>20</v>
      </c>
      <c r="J209" s="3">
        <v>1</v>
      </c>
      <c r="K209" s="3">
        <v>1</v>
      </c>
      <c r="L209" s="3" t="str">
        <f t="shared" si="10"/>
        <v>2º Semestre</v>
      </c>
      <c r="M209" s="3" t="str">
        <f t="shared" si="12"/>
        <v>T4</v>
      </c>
      <c r="N209" s="3" t="str">
        <f t="shared" si="9"/>
        <v>nov</v>
      </c>
      <c r="O209" s="3">
        <v>11</v>
      </c>
    </row>
    <row r="210" spans="3:15" ht="43.2" x14ac:dyDescent="0.3">
      <c r="C210" s="3">
        <v>209</v>
      </c>
      <c r="D210" s="4">
        <v>45974</v>
      </c>
      <c r="E210" s="5" t="s">
        <v>23</v>
      </c>
      <c r="F210" s="5" t="s">
        <v>20</v>
      </c>
      <c r="G210" s="5" t="s">
        <v>41</v>
      </c>
      <c r="H210" s="5" t="s">
        <v>33</v>
      </c>
      <c r="I210" s="3">
        <v>30</v>
      </c>
      <c r="J210" s="3">
        <v>4</v>
      </c>
      <c r="K210" s="3">
        <v>1</v>
      </c>
      <c r="L210" s="3" t="str">
        <f t="shared" si="10"/>
        <v>2º Semestre</v>
      </c>
      <c r="M210" s="3" t="str">
        <f t="shared" si="12"/>
        <v>T4</v>
      </c>
      <c r="N210" s="3" t="str">
        <f t="shared" si="9"/>
        <v>nov</v>
      </c>
      <c r="O210" s="3">
        <v>11</v>
      </c>
    </row>
    <row r="211" spans="3:15" ht="43.2" x14ac:dyDescent="0.3">
      <c r="C211" s="3">
        <v>210</v>
      </c>
      <c r="D211" s="4">
        <v>45975</v>
      </c>
      <c r="E211" s="5" t="s">
        <v>13</v>
      </c>
      <c r="F211" s="5" t="s">
        <v>43</v>
      </c>
      <c r="G211" s="5" t="s">
        <v>44</v>
      </c>
      <c r="H211" s="5" t="s">
        <v>22</v>
      </c>
      <c r="I211" s="3">
        <v>110</v>
      </c>
      <c r="J211" s="3">
        <v>2</v>
      </c>
      <c r="K211" s="3">
        <v>2</v>
      </c>
      <c r="L211" s="3" t="str">
        <f t="shared" si="10"/>
        <v>2º Semestre</v>
      </c>
      <c r="M211" s="3" t="str">
        <f t="shared" si="12"/>
        <v>T4</v>
      </c>
      <c r="N211" s="3" t="str">
        <f t="shared" si="9"/>
        <v>nov</v>
      </c>
      <c r="O211" s="3">
        <v>11</v>
      </c>
    </row>
    <row r="212" spans="3:15" ht="28.8" x14ac:dyDescent="0.3">
      <c r="C212" s="3">
        <v>211</v>
      </c>
      <c r="D212" s="4">
        <v>45978</v>
      </c>
      <c r="E212" s="5" t="s">
        <v>19</v>
      </c>
      <c r="F212" s="5" t="s">
        <v>24</v>
      </c>
      <c r="G212" s="5" t="s">
        <v>46</v>
      </c>
      <c r="H212" s="5" t="s">
        <v>22</v>
      </c>
      <c r="I212" s="3">
        <v>85</v>
      </c>
      <c r="J212" s="3">
        <v>2</v>
      </c>
      <c r="K212" s="3">
        <v>2</v>
      </c>
      <c r="L212" s="3" t="str">
        <f t="shared" si="10"/>
        <v>2º Semestre</v>
      </c>
      <c r="M212" s="3" t="str">
        <f t="shared" si="12"/>
        <v>T4</v>
      </c>
      <c r="N212" s="3" t="str">
        <f t="shared" si="9"/>
        <v>nov</v>
      </c>
      <c r="O212" s="3">
        <v>11</v>
      </c>
    </row>
    <row r="213" spans="3:15" ht="43.2" x14ac:dyDescent="0.3">
      <c r="C213" s="3">
        <v>212</v>
      </c>
      <c r="D213" s="4">
        <v>45979</v>
      </c>
      <c r="E213" s="5" t="s">
        <v>30</v>
      </c>
      <c r="F213" s="5" t="s">
        <v>17</v>
      </c>
      <c r="G213" s="5" t="s">
        <v>50</v>
      </c>
      <c r="H213" s="5" t="s">
        <v>16</v>
      </c>
      <c r="I213" s="3">
        <v>10</v>
      </c>
      <c r="J213" s="3">
        <v>4</v>
      </c>
      <c r="K213" s="3">
        <v>2</v>
      </c>
      <c r="L213" s="3" t="str">
        <f t="shared" si="10"/>
        <v>2º Semestre</v>
      </c>
      <c r="M213" s="3" t="str">
        <f t="shared" si="12"/>
        <v>T4</v>
      </c>
      <c r="N213" s="3" t="str">
        <f t="shared" si="9"/>
        <v>nov</v>
      </c>
      <c r="O213" s="3">
        <v>11</v>
      </c>
    </row>
    <row r="214" spans="3:15" ht="57.6" x14ac:dyDescent="0.3">
      <c r="C214" s="3">
        <v>213</v>
      </c>
      <c r="D214" s="4">
        <v>45980</v>
      </c>
      <c r="E214" s="5" t="s">
        <v>13</v>
      </c>
      <c r="F214" s="5" t="s">
        <v>14</v>
      </c>
      <c r="G214" s="5" t="s">
        <v>15</v>
      </c>
      <c r="H214" s="5" t="s">
        <v>16</v>
      </c>
      <c r="I214" s="3">
        <v>110</v>
      </c>
      <c r="J214" s="3">
        <v>1</v>
      </c>
      <c r="K214" s="3">
        <v>1</v>
      </c>
      <c r="L214" s="3" t="str">
        <f t="shared" si="10"/>
        <v>2º Semestre</v>
      </c>
      <c r="M214" s="3" t="str">
        <f t="shared" si="12"/>
        <v>T4</v>
      </c>
      <c r="N214" s="3" t="str">
        <f t="shared" si="9"/>
        <v>nov</v>
      </c>
      <c r="O214" s="3">
        <v>11</v>
      </c>
    </row>
    <row r="215" spans="3:15" ht="72" x14ac:dyDescent="0.3">
      <c r="C215" s="3">
        <v>214</v>
      </c>
      <c r="D215" s="4">
        <v>45981</v>
      </c>
      <c r="E215" s="5" t="s">
        <v>26</v>
      </c>
      <c r="F215" s="5" t="s">
        <v>27</v>
      </c>
      <c r="G215" s="5" t="s">
        <v>39</v>
      </c>
      <c r="H215" s="5" t="s">
        <v>16</v>
      </c>
      <c r="I215" s="3">
        <v>30</v>
      </c>
      <c r="J215" s="3">
        <v>1</v>
      </c>
      <c r="K215" s="3">
        <v>1</v>
      </c>
      <c r="L215" s="3" t="str">
        <f t="shared" si="10"/>
        <v>2º Semestre</v>
      </c>
      <c r="M215" s="3" t="str">
        <f t="shared" si="12"/>
        <v>T4</v>
      </c>
      <c r="N215" s="3" t="str">
        <f t="shared" si="9"/>
        <v>nov</v>
      </c>
      <c r="O215" s="3">
        <v>11</v>
      </c>
    </row>
    <row r="216" spans="3:15" ht="28.8" x14ac:dyDescent="0.3">
      <c r="C216" s="3">
        <v>215</v>
      </c>
      <c r="D216" s="4">
        <v>45982</v>
      </c>
      <c r="E216" s="5" t="s">
        <v>19</v>
      </c>
      <c r="F216" s="5" t="s">
        <v>20</v>
      </c>
      <c r="G216" s="5" t="s">
        <v>21</v>
      </c>
      <c r="H216" s="5" t="s">
        <v>22</v>
      </c>
      <c r="I216" s="3">
        <v>85</v>
      </c>
      <c r="J216" s="3">
        <v>3</v>
      </c>
      <c r="K216" s="3">
        <v>1</v>
      </c>
      <c r="L216" s="3" t="str">
        <f t="shared" si="10"/>
        <v>2º Semestre</v>
      </c>
      <c r="M216" s="3" t="str">
        <f t="shared" si="12"/>
        <v>T4</v>
      </c>
      <c r="N216" s="3" t="str">
        <f t="shared" si="9"/>
        <v>nov</v>
      </c>
      <c r="O216" s="3">
        <v>11</v>
      </c>
    </row>
    <row r="217" spans="3:15" ht="57.6" x14ac:dyDescent="0.3">
      <c r="C217" s="3">
        <v>216</v>
      </c>
      <c r="D217" s="4">
        <v>45985</v>
      </c>
      <c r="E217" s="5" t="s">
        <v>30</v>
      </c>
      <c r="F217" s="5" t="s">
        <v>31</v>
      </c>
      <c r="G217" s="5" t="s">
        <v>32</v>
      </c>
      <c r="H217" s="5" t="s">
        <v>33</v>
      </c>
      <c r="I217" s="3">
        <v>10</v>
      </c>
      <c r="J217" s="3">
        <v>6</v>
      </c>
      <c r="K217" s="3">
        <v>0</v>
      </c>
      <c r="L217" s="3" t="str">
        <f t="shared" si="10"/>
        <v>2º Semestre</v>
      </c>
      <c r="M217" s="3" t="str">
        <f t="shared" si="12"/>
        <v>T4</v>
      </c>
      <c r="N217" s="3" t="str">
        <f t="shared" si="9"/>
        <v>nov</v>
      </c>
      <c r="O217" s="3">
        <v>11</v>
      </c>
    </row>
    <row r="218" spans="3:15" ht="72" x14ac:dyDescent="0.3">
      <c r="C218" s="3">
        <v>217</v>
      </c>
      <c r="D218" s="4">
        <v>45986</v>
      </c>
      <c r="E218" s="5" t="s">
        <v>13</v>
      </c>
      <c r="F218" s="5" t="s">
        <v>34</v>
      </c>
      <c r="G218" s="5" t="s">
        <v>35</v>
      </c>
      <c r="H218" s="5" t="s">
        <v>36</v>
      </c>
      <c r="I218" s="3">
        <v>120</v>
      </c>
      <c r="J218" s="3">
        <v>1</v>
      </c>
      <c r="K218" s="3">
        <v>1</v>
      </c>
      <c r="L218" s="3" t="str">
        <f t="shared" si="10"/>
        <v>2º Semestre</v>
      </c>
      <c r="M218" s="3" t="str">
        <f t="shared" si="12"/>
        <v>T4</v>
      </c>
      <c r="N218" s="3" t="str">
        <f t="shared" si="9"/>
        <v>nov</v>
      </c>
      <c r="O218" s="3">
        <v>11</v>
      </c>
    </row>
    <row r="219" spans="3:15" ht="28.8" x14ac:dyDescent="0.3">
      <c r="C219" s="3">
        <v>218</v>
      </c>
      <c r="D219" s="4">
        <v>45987</v>
      </c>
      <c r="E219" s="5" t="s">
        <v>23</v>
      </c>
      <c r="F219" s="5" t="s">
        <v>24</v>
      </c>
      <c r="G219" s="5" t="s">
        <v>25</v>
      </c>
      <c r="H219" s="5" t="s">
        <v>22</v>
      </c>
      <c r="I219" s="3">
        <v>50</v>
      </c>
      <c r="J219" s="3">
        <v>3</v>
      </c>
      <c r="K219" s="3">
        <v>2</v>
      </c>
      <c r="L219" s="3" t="str">
        <f t="shared" si="10"/>
        <v>2º Semestre</v>
      </c>
      <c r="M219" s="3" t="str">
        <f t="shared" si="12"/>
        <v>T4</v>
      </c>
      <c r="N219" s="3" t="str">
        <f t="shared" si="9"/>
        <v>nov</v>
      </c>
      <c r="O219" s="3">
        <v>11</v>
      </c>
    </row>
    <row r="220" spans="3:15" ht="43.2" x14ac:dyDescent="0.3">
      <c r="C220" s="3">
        <v>219</v>
      </c>
      <c r="D220" s="4">
        <v>45988</v>
      </c>
      <c r="E220" s="5" t="s">
        <v>13</v>
      </c>
      <c r="F220" s="5" t="s">
        <v>17</v>
      </c>
      <c r="G220" s="5" t="s">
        <v>18</v>
      </c>
      <c r="H220" s="5" t="s">
        <v>16</v>
      </c>
      <c r="I220" s="3">
        <v>120</v>
      </c>
      <c r="J220" s="3">
        <v>2</v>
      </c>
      <c r="K220" s="3">
        <v>1</v>
      </c>
      <c r="L220" s="3" t="str">
        <f t="shared" si="10"/>
        <v>2º Semestre</v>
      </c>
      <c r="M220" s="3" t="str">
        <f t="shared" si="12"/>
        <v>T4</v>
      </c>
      <c r="N220" s="3" t="str">
        <f t="shared" si="9"/>
        <v>nov</v>
      </c>
      <c r="O220" s="3">
        <v>11</v>
      </c>
    </row>
    <row r="221" spans="3:15" ht="28.8" x14ac:dyDescent="0.3">
      <c r="C221" s="3">
        <v>220</v>
      </c>
      <c r="D221" s="4">
        <v>45989</v>
      </c>
      <c r="E221" s="5" t="s">
        <v>26</v>
      </c>
      <c r="F221" s="5" t="s">
        <v>14</v>
      </c>
      <c r="G221" s="5" t="s">
        <v>29</v>
      </c>
      <c r="H221" s="5" t="s">
        <v>16</v>
      </c>
      <c r="I221" s="3">
        <v>26</v>
      </c>
      <c r="J221" s="3">
        <v>1</v>
      </c>
      <c r="K221" s="3">
        <v>1</v>
      </c>
      <c r="L221" s="3" t="str">
        <f t="shared" si="10"/>
        <v>2º Semestre</v>
      </c>
      <c r="M221" s="3" t="str">
        <f t="shared" si="12"/>
        <v>T4</v>
      </c>
      <c r="N221" s="3" t="str">
        <f t="shared" si="9"/>
        <v>nov</v>
      </c>
      <c r="O221" s="3">
        <v>11</v>
      </c>
    </row>
    <row r="222" spans="3:15" ht="57.6" x14ac:dyDescent="0.3">
      <c r="C222" s="3">
        <v>221</v>
      </c>
      <c r="D222" s="4">
        <v>45992</v>
      </c>
      <c r="E222" s="5" t="s">
        <v>13</v>
      </c>
      <c r="F222" s="5" t="s">
        <v>14</v>
      </c>
      <c r="G222" s="5" t="s">
        <v>15</v>
      </c>
      <c r="H222" s="5" t="s">
        <v>16</v>
      </c>
      <c r="I222" s="3">
        <v>110</v>
      </c>
      <c r="J222" s="3">
        <v>1</v>
      </c>
      <c r="K222" s="3">
        <v>1</v>
      </c>
      <c r="L222" s="3" t="str">
        <f t="shared" si="10"/>
        <v>2º Semestre</v>
      </c>
      <c r="M222" s="3" t="str">
        <f t="shared" si="12"/>
        <v>T4</v>
      </c>
      <c r="N222" s="3" t="str">
        <f t="shared" si="9"/>
        <v>dez</v>
      </c>
      <c r="O222" s="3">
        <v>12</v>
      </c>
    </row>
    <row r="223" spans="3:15" ht="28.8" x14ac:dyDescent="0.3">
      <c r="C223" s="3">
        <v>222</v>
      </c>
      <c r="D223" s="4">
        <v>45993</v>
      </c>
      <c r="E223" s="5" t="s">
        <v>19</v>
      </c>
      <c r="F223" s="5" t="s">
        <v>20</v>
      </c>
      <c r="G223" s="5" t="s">
        <v>21</v>
      </c>
      <c r="H223" s="5" t="s">
        <v>22</v>
      </c>
      <c r="I223" s="3">
        <v>85</v>
      </c>
      <c r="J223" s="3">
        <v>3</v>
      </c>
      <c r="K223" s="3">
        <v>1</v>
      </c>
      <c r="L223" s="3" t="str">
        <f t="shared" si="10"/>
        <v>2º Semestre</v>
      </c>
      <c r="M223" s="3" t="str">
        <f t="shared" si="12"/>
        <v>T4</v>
      </c>
      <c r="N223" s="3" t="str">
        <f t="shared" si="9"/>
        <v>dez</v>
      </c>
      <c r="O223" s="3">
        <v>12</v>
      </c>
    </row>
    <row r="224" spans="3:15" ht="28.8" x14ac:dyDescent="0.3">
      <c r="C224" s="3">
        <v>223</v>
      </c>
      <c r="D224" s="4">
        <v>45994</v>
      </c>
      <c r="E224" s="5" t="s">
        <v>23</v>
      </c>
      <c r="F224" s="5" t="s">
        <v>24</v>
      </c>
      <c r="G224" s="5" t="s">
        <v>25</v>
      </c>
      <c r="H224" s="5" t="s">
        <v>22</v>
      </c>
      <c r="I224" s="3">
        <v>50</v>
      </c>
      <c r="J224" s="3">
        <v>2</v>
      </c>
      <c r="K224" s="3">
        <v>1</v>
      </c>
      <c r="L224" s="3" t="str">
        <f t="shared" si="10"/>
        <v>2º Semestre</v>
      </c>
      <c r="M224" s="3" t="str">
        <f t="shared" si="12"/>
        <v>T4</v>
      </c>
      <c r="N224" s="3" t="str">
        <f t="shared" si="9"/>
        <v>dez</v>
      </c>
      <c r="O224" s="3">
        <v>12</v>
      </c>
    </row>
    <row r="225" spans="3:15" ht="28.8" x14ac:dyDescent="0.3">
      <c r="C225" s="3">
        <v>224</v>
      </c>
      <c r="D225" s="4">
        <v>45995</v>
      </c>
      <c r="E225" s="5" t="s">
        <v>26</v>
      </c>
      <c r="F225" s="5" t="s">
        <v>27</v>
      </c>
      <c r="G225" s="5" t="s">
        <v>28</v>
      </c>
      <c r="H225" s="5" t="s">
        <v>16</v>
      </c>
      <c r="I225" s="3">
        <v>26</v>
      </c>
      <c r="J225" s="3">
        <v>1</v>
      </c>
      <c r="K225" s="3">
        <v>1</v>
      </c>
      <c r="L225" s="3" t="str">
        <f t="shared" si="10"/>
        <v>2º Semestre</v>
      </c>
      <c r="M225" s="3" t="str">
        <f t="shared" si="12"/>
        <v>T4</v>
      </c>
      <c r="N225" s="3" t="str">
        <f t="shared" si="9"/>
        <v>dez</v>
      </c>
      <c r="O225" s="3">
        <v>12</v>
      </c>
    </row>
    <row r="226" spans="3:15" ht="57.6" x14ac:dyDescent="0.3">
      <c r="C226" s="3">
        <v>225</v>
      </c>
      <c r="D226" s="4">
        <v>45996</v>
      </c>
      <c r="E226" s="5" t="s">
        <v>30</v>
      </c>
      <c r="F226" s="5" t="s">
        <v>31</v>
      </c>
      <c r="G226" s="5" t="s">
        <v>32</v>
      </c>
      <c r="H226" s="5" t="s">
        <v>33</v>
      </c>
      <c r="I226" s="3">
        <v>10</v>
      </c>
      <c r="J226" s="3">
        <v>5</v>
      </c>
      <c r="K226" s="3">
        <v>3</v>
      </c>
      <c r="L226" s="3" t="str">
        <f t="shared" si="10"/>
        <v>2º Semestre</v>
      </c>
      <c r="M226" s="3" t="str">
        <f t="shared" si="12"/>
        <v>T4</v>
      </c>
      <c r="N226" s="3" t="str">
        <f t="shared" si="9"/>
        <v>dez</v>
      </c>
      <c r="O226" s="3">
        <v>12</v>
      </c>
    </row>
    <row r="227" spans="3:15" ht="43.2" x14ac:dyDescent="0.3">
      <c r="C227" s="3">
        <v>226</v>
      </c>
      <c r="D227" s="4">
        <v>45999</v>
      </c>
      <c r="E227" s="5" t="s">
        <v>13</v>
      </c>
      <c r="F227" s="5" t="s">
        <v>17</v>
      </c>
      <c r="G227" s="5" t="s">
        <v>18</v>
      </c>
      <c r="H227" s="5" t="s">
        <v>16</v>
      </c>
      <c r="I227" s="3">
        <v>110</v>
      </c>
      <c r="J227" s="3">
        <v>1</v>
      </c>
      <c r="K227" s="3">
        <v>1</v>
      </c>
      <c r="L227" s="3" t="str">
        <f t="shared" si="10"/>
        <v>2º Semestre</v>
      </c>
      <c r="M227" s="3" t="str">
        <f t="shared" si="12"/>
        <v>T4</v>
      </c>
      <c r="N227" s="3" t="str">
        <f t="shared" si="9"/>
        <v>dez</v>
      </c>
      <c r="O227" s="3">
        <v>12</v>
      </c>
    </row>
    <row r="228" spans="3:15" ht="57.6" x14ac:dyDescent="0.3">
      <c r="C228" s="3">
        <v>227</v>
      </c>
      <c r="D228" s="4">
        <v>46000</v>
      </c>
      <c r="E228" s="5" t="s">
        <v>13</v>
      </c>
      <c r="F228" s="5" t="s">
        <v>37</v>
      </c>
      <c r="G228" s="5" t="s">
        <v>38</v>
      </c>
      <c r="H228" s="5" t="s">
        <v>22</v>
      </c>
      <c r="I228" s="3">
        <v>110</v>
      </c>
      <c r="J228" s="3">
        <v>2</v>
      </c>
      <c r="K228" s="3">
        <v>1</v>
      </c>
      <c r="L228" s="3" t="str">
        <f t="shared" si="10"/>
        <v>2º Semestre</v>
      </c>
      <c r="M228" s="3" t="str">
        <f t="shared" si="12"/>
        <v>T4</v>
      </c>
      <c r="N228" s="3" t="str">
        <f t="shared" si="9"/>
        <v>dez</v>
      </c>
      <c r="O228" s="3">
        <v>12</v>
      </c>
    </row>
    <row r="229" spans="3:15" ht="28.8" x14ac:dyDescent="0.3">
      <c r="C229" s="3">
        <v>228</v>
      </c>
      <c r="D229" s="4">
        <v>46001</v>
      </c>
      <c r="E229" s="5" t="s">
        <v>26</v>
      </c>
      <c r="F229" s="5" t="s">
        <v>14</v>
      </c>
      <c r="G229" s="5" t="s">
        <v>29</v>
      </c>
      <c r="H229" s="5" t="s">
        <v>16</v>
      </c>
      <c r="I229" s="3">
        <v>30</v>
      </c>
      <c r="J229" s="3">
        <v>1</v>
      </c>
      <c r="K229" s="3">
        <v>1</v>
      </c>
      <c r="L229" s="3" t="str">
        <f t="shared" si="10"/>
        <v>2º Semestre</v>
      </c>
      <c r="M229" s="3" t="str">
        <f t="shared" si="12"/>
        <v>T4</v>
      </c>
      <c r="N229" s="3" t="str">
        <f t="shared" si="9"/>
        <v>dez</v>
      </c>
      <c r="O229" s="3">
        <v>12</v>
      </c>
    </row>
    <row r="230" spans="3:15" ht="43.2" x14ac:dyDescent="0.3">
      <c r="C230" s="3">
        <v>229</v>
      </c>
      <c r="D230" s="4">
        <v>46002</v>
      </c>
      <c r="E230" s="5" t="s">
        <v>23</v>
      </c>
      <c r="F230" s="5" t="s">
        <v>20</v>
      </c>
      <c r="G230" s="5" t="s">
        <v>41</v>
      </c>
      <c r="H230" s="5" t="s">
        <v>33</v>
      </c>
      <c r="I230" s="3">
        <v>50</v>
      </c>
      <c r="J230" s="3">
        <v>3</v>
      </c>
      <c r="K230" s="3">
        <v>1</v>
      </c>
      <c r="L230" s="3" t="str">
        <f t="shared" si="10"/>
        <v>2º Semestre</v>
      </c>
      <c r="M230" s="3" t="str">
        <f t="shared" si="12"/>
        <v>T4</v>
      </c>
      <c r="N230" s="3" t="str">
        <f t="shared" si="9"/>
        <v>dez</v>
      </c>
      <c r="O230" s="3">
        <v>12</v>
      </c>
    </row>
    <row r="231" spans="3:15" ht="43.2" x14ac:dyDescent="0.3">
      <c r="C231" s="3">
        <v>230</v>
      </c>
      <c r="D231" s="4">
        <v>46003</v>
      </c>
      <c r="E231" s="5" t="s">
        <v>13</v>
      </c>
      <c r="F231" s="5" t="s">
        <v>43</v>
      </c>
      <c r="G231" s="5" t="s">
        <v>44</v>
      </c>
      <c r="H231" s="5" t="s">
        <v>22</v>
      </c>
      <c r="I231" s="3">
        <v>100</v>
      </c>
      <c r="J231" s="3">
        <v>2</v>
      </c>
      <c r="K231" s="3">
        <v>1</v>
      </c>
      <c r="L231" s="3" t="str">
        <f t="shared" si="10"/>
        <v>2º Semestre</v>
      </c>
      <c r="M231" s="3" t="str">
        <f t="shared" si="12"/>
        <v>T4</v>
      </c>
      <c r="N231" s="3" t="str">
        <f t="shared" si="9"/>
        <v>dez</v>
      </c>
      <c r="O231" s="3">
        <v>12</v>
      </c>
    </row>
    <row r="232" spans="3:15" ht="28.8" x14ac:dyDescent="0.3">
      <c r="C232" s="3">
        <v>231</v>
      </c>
      <c r="D232" s="4">
        <v>46006</v>
      </c>
      <c r="E232" s="5" t="s">
        <v>19</v>
      </c>
      <c r="F232" s="5" t="s">
        <v>24</v>
      </c>
      <c r="G232" s="5" t="s">
        <v>46</v>
      </c>
      <c r="H232" s="5" t="s">
        <v>22</v>
      </c>
      <c r="I232" s="3">
        <v>85</v>
      </c>
      <c r="J232" s="3">
        <v>2</v>
      </c>
      <c r="K232" s="3">
        <v>1</v>
      </c>
      <c r="L232" s="3" t="str">
        <f t="shared" si="10"/>
        <v>2º Semestre</v>
      </c>
      <c r="M232" s="3" t="str">
        <f t="shared" si="12"/>
        <v>T4</v>
      </c>
      <c r="N232" s="3" t="str">
        <f t="shared" si="9"/>
        <v>dez</v>
      </c>
      <c r="O232" s="3">
        <v>12</v>
      </c>
    </row>
    <row r="233" spans="3:15" ht="43.2" x14ac:dyDescent="0.3">
      <c r="C233" s="3">
        <v>232</v>
      </c>
      <c r="D233" s="4">
        <v>46007</v>
      </c>
      <c r="E233" s="5" t="s">
        <v>30</v>
      </c>
      <c r="F233" s="5" t="s">
        <v>17</v>
      </c>
      <c r="G233" s="5" t="s">
        <v>50</v>
      </c>
      <c r="H233" s="5" t="s">
        <v>16</v>
      </c>
      <c r="I233" s="3">
        <v>10</v>
      </c>
      <c r="J233" s="3">
        <v>3</v>
      </c>
      <c r="K233" s="3">
        <v>3</v>
      </c>
      <c r="L233" s="3" t="str">
        <f t="shared" si="10"/>
        <v>2º Semestre</v>
      </c>
      <c r="M233" s="3" t="str">
        <f t="shared" si="12"/>
        <v>T4</v>
      </c>
      <c r="N233" s="3" t="str">
        <f t="shared" si="9"/>
        <v>dez</v>
      </c>
      <c r="O233" s="3">
        <v>12</v>
      </c>
    </row>
    <row r="234" spans="3:15" ht="57.6" x14ac:dyDescent="0.3">
      <c r="C234" s="3">
        <v>233</v>
      </c>
      <c r="D234" s="4">
        <v>46008</v>
      </c>
      <c r="E234" s="5" t="s">
        <v>13</v>
      </c>
      <c r="F234" s="5" t="s">
        <v>14</v>
      </c>
      <c r="G234" s="5" t="s">
        <v>15</v>
      </c>
      <c r="H234" s="5" t="s">
        <v>16</v>
      </c>
      <c r="I234" s="3">
        <v>100</v>
      </c>
      <c r="J234" s="3">
        <v>1</v>
      </c>
      <c r="K234" s="3">
        <v>1</v>
      </c>
      <c r="L234" s="3" t="str">
        <f t="shared" si="10"/>
        <v>2º Semestre</v>
      </c>
      <c r="M234" s="3" t="str">
        <f t="shared" si="12"/>
        <v>T4</v>
      </c>
      <c r="N234" s="3" t="str">
        <f t="shared" si="9"/>
        <v>dez</v>
      </c>
      <c r="O234" s="3">
        <v>12</v>
      </c>
    </row>
    <row r="235" spans="3:15" ht="72" x14ac:dyDescent="0.3">
      <c r="C235" s="3">
        <v>234</v>
      </c>
      <c r="D235" s="4">
        <v>46009</v>
      </c>
      <c r="E235" s="5" t="s">
        <v>26</v>
      </c>
      <c r="F235" s="5" t="s">
        <v>27</v>
      </c>
      <c r="G235" s="5" t="s">
        <v>39</v>
      </c>
      <c r="H235" s="5" t="s">
        <v>16</v>
      </c>
      <c r="I235" s="3">
        <v>20</v>
      </c>
      <c r="J235" s="3">
        <v>1</v>
      </c>
      <c r="K235" s="3">
        <v>1</v>
      </c>
      <c r="L235" s="3" t="str">
        <f t="shared" si="10"/>
        <v>2º Semestre</v>
      </c>
      <c r="M235" s="3" t="str">
        <f t="shared" si="12"/>
        <v>T4</v>
      </c>
      <c r="N235" s="3" t="str">
        <f t="shared" si="9"/>
        <v>dez</v>
      </c>
      <c r="O235" s="3">
        <v>12</v>
      </c>
    </row>
    <row r="236" spans="3:15" ht="28.8" x14ac:dyDescent="0.3">
      <c r="C236" s="3">
        <v>235</v>
      </c>
      <c r="D236" s="4">
        <v>46010</v>
      </c>
      <c r="E236" s="5" t="s">
        <v>19</v>
      </c>
      <c r="F236" s="5" t="s">
        <v>20</v>
      </c>
      <c r="G236" s="5" t="s">
        <v>21</v>
      </c>
      <c r="H236" s="5" t="s">
        <v>22</v>
      </c>
      <c r="I236" s="3">
        <v>80</v>
      </c>
      <c r="J236" s="3">
        <v>3</v>
      </c>
      <c r="K236" s="3">
        <v>1</v>
      </c>
      <c r="L236" s="3" t="str">
        <f t="shared" si="10"/>
        <v>2º Semestre</v>
      </c>
      <c r="M236" s="3" t="str">
        <f t="shared" si="12"/>
        <v>T4</v>
      </c>
      <c r="N236" s="3" t="str">
        <f t="shared" si="9"/>
        <v>dez</v>
      </c>
      <c r="O236" s="3">
        <v>12</v>
      </c>
    </row>
    <row r="237" spans="3:15" ht="57.6" x14ac:dyDescent="0.3">
      <c r="C237" s="3">
        <v>236</v>
      </c>
      <c r="D237" s="4">
        <v>46013</v>
      </c>
      <c r="E237" s="5" t="s">
        <v>30</v>
      </c>
      <c r="F237" s="5" t="s">
        <v>31</v>
      </c>
      <c r="G237" s="5" t="s">
        <v>32</v>
      </c>
      <c r="H237" s="5" t="s">
        <v>33</v>
      </c>
      <c r="I237" s="3">
        <v>10</v>
      </c>
      <c r="J237" s="3">
        <v>5</v>
      </c>
      <c r="K237" s="3">
        <v>2</v>
      </c>
      <c r="L237" s="3" t="str">
        <f t="shared" si="10"/>
        <v>2º Semestre</v>
      </c>
      <c r="M237" s="3" t="str">
        <f t="shared" si="12"/>
        <v>T4</v>
      </c>
      <c r="N237" s="3" t="str">
        <f t="shared" si="9"/>
        <v>dez</v>
      </c>
      <c r="O237" s="3">
        <v>12</v>
      </c>
    </row>
    <row r="238" spans="3:15" ht="72" x14ac:dyDescent="0.3">
      <c r="C238" s="3">
        <v>237</v>
      </c>
      <c r="D238" s="4">
        <v>46014</v>
      </c>
      <c r="E238" s="5" t="s">
        <v>13</v>
      </c>
      <c r="F238" s="5" t="s">
        <v>34</v>
      </c>
      <c r="G238" s="5" t="s">
        <v>35</v>
      </c>
      <c r="H238" s="5" t="s">
        <v>36</v>
      </c>
      <c r="I238" s="3">
        <v>100</v>
      </c>
      <c r="J238" s="3">
        <v>1</v>
      </c>
      <c r="K238" s="3">
        <v>1</v>
      </c>
      <c r="L238" s="3" t="str">
        <f t="shared" si="10"/>
        <v>2º Semestre</v>
      </c>
      <c r="M238" s="3" t="str">
        <f t="shared" si="12"/>
        <v>T4</v>
      </c>
      <c r="N238" s="3" t="str">
        <f t="shared" si="9"/>
        <v>dez</v>
      </c>
      <c r="O238" s="3">
        <v>12</v>
      </c>
    </row>
    <row r="239" spans="3:15" ht="28.8" x14ac:dyDescent="0.3">
      <c r="C239" s="3">
        <v>238</v>
      </c>
      <c r="D239" s="4">
        <v>46017</v>
      </c>
      <c r="E239" s="5" t="s">
        <v>23</v>
      </c>
      <c r="F239" s="5" t="s">
        <v>24</v>
      </c>
      <c r="G239" s="5" t="s">
        <v>25</v>
      </c>
      <c r="H239" s="5" t="s">
        <v>22</v>
      </c>
      <c r="I239" s="3">
        <v>50</v>
      </c>
      <c r="J239" s="3">
        <v>2</v>
      </c>
      <c r="K239" s="3">
        <v>1</v>
      </c>
      <c r="L239" s="3" t="str">
        <f t="shared" si="10"/>
        <v>2º Semestre</v>
      </c>
      <c r="M239" s="3" t="str">
        <f t="shared" si="12"/>
        <v>T4</v>
      </c>
      <c r="N239" s="3" t="str">
        <f t="shared" si="9"/>
        <v>dez</v>
      </c>
      <c r="O239" s="3">
        <v>12</v>
      </c>
    </row>
    <row r="240" spans="3:15" ht="43.2" x14ac:dyDescent="0.3">
      <c r="C240" s="3">
        <v>239</v>
      </c>
      <c r="D240" s="4">
        <v>46020</v>
      </c>
      <c r="E240" s="5" t="s">
        <v>13</v>
      </c>
      <c r="F240" s="5" t="s">
        <v>17</v>
      </c>
      <c r="G240" s="5" t="s">
        <v>18</v>
      </c>
      <c r="H240" s="5" t="s">
        <v>16</v>
      </c>
      <c r="I240" s="3">
        <v>100</v>
      </c>
      <c r="J240" s="3">
        <v>1</v>
      </c>
      <c r="K240" s="3">
        <v>1</v>
      </c>
      <c r="L240" s="3" t="str">
        <f t="shared" si="10"/>
        <v>2º Semestre</v>
      </c>
      <c r="M240" s="3" t="str">
        <f t="shared" si="12"/>
        <v>T4</v>
      </c>
      <c r="N240" s="3" t="str">
        <f t="shared" si="9"/>
        <v>dez</v>
      </c>
      <c r="O240" s="3">
        <v>12</v>
      </c>
    </row>
    <row r="241" spans="3:15" ht="28.8" x14ac:dyDescent="0.3">
      <c r="C241" s="3">
        <v>240</v>
      </c>
      <c r="D241" s="4">
        <v>46021</v>
      </c>
      <c r="E241" s="5" t="s">
        <v>26</v>
      </c>
      <c r="F241" s="5" t="s">
        <v>14</v>
      </c>
      <c r="G241" s="5" t="s">
        <v>29</v>
      </c>
      <c r="H241" s="5" t="s">
        <v>16</v>
      </c>
      <c r="I241" s="3">
        <v>20</v>
      </c>
      <c r="J241" s="3">
        <v>1</v>
      </c>
      <c r="K241" s="3">
        <v>1</v>
      </c>
      <c r="L241" s="3" t="str">
        <f t="shared" si="10"/>
        <v>2º Semestre</v>
      </c>
      <c r="M241" s="3" t="str">
        <f t="shared" si="12"/>
        <v>T4</v>
      </c>
      <c r="N241" s="3" t="str">
        <f t="shared" si="9"/>
        <v>dez</v>
      </c>
      <c r="O241" s="3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WELLISON BRAZ DA SILVA</dc:creator>
  <cp:lastModifiedBy>WELLISON BRAZ DA SILVA</cp:lastModifiedBy>
  <dcterms:created xsi:type="dcterms:W3CDTF">2026-07-08T18:35:40Z</dcterms:created>
  <dcterms:modified xsi:type="dcterms:W3CDTF">2026-07-08T18:36:42Z</dcterms:modified>
</cp:coreProperties>
</file>